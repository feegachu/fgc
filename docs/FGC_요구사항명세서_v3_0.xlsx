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5c9ad678a9e450b" /></Relationships>
</file>

<file path=xl/workbook.xml><?xml version="1.0" encoding="utf-8"?>
<x:workbook xmlns:x="http://schemas.openxmlformats.org/spreadsheetml/2006/main">
  <x:sheets>
    <x:sheet xmlns:r="http://schemas.openxmlformats.org/officeDocument/2006/relationships" name="00_문서개요" sheetId="1" r:id="R977294dc1d6741de"/>
    <x:sheet xmlns:r="http://schemas.openxmlformats.org/officeDocument/2006/relationships" name="00B_1차_MVP_구현순서" sheetId="2" r:id="R05bf963c18cf4203"/>
    <x:sheet xmlns:r="http://schemas.openxmlformats.org/officeDocument/2006/relationships" name="01_요구사항_마스터" sheetId="3" r:id="R0cdfbb1e0e304173"/>
    <x:sheet xmlns:r="http://schemas.openxmlformats.org/officeDocument/2006/relationships" name="02_확정_결정사항" sheetId="4" r:id="Re3e123b4ee3d49d8"/>
    <x:sheet xmlns:r="http://schemas.openxmlformats.org/officeDocument/2006/relationships" name="03_AsIs_ToBe_업무흐름" sheetId="5" r:id="R8ef30c4cd1e346db"/>
    <x:sheet xmlns:r="http://schemas.openxmlformats.org/officeDocument/2006/relationships" name="FUN_기능_요구사항" sheetId="6" r:id="R7d6f8811f0dd41d5"/>
    <x:sheet xmlns:r="http://schemas.openxmlformats.org/officeDocument/2006/relationships" name="PER_성능_요구사항" sheetId="7" r:id="Rdcd7df97293f48fa"/>
    <x:sheet xmlns:r="http://schemas.openxmlformats.org/officeDocument/2006/relationships" name="SIR_인터페이스_요구사항" sheetId="8" r:id="R9a4bd2607dd949ce"/>
    <x:sheet xmlns:r="http://schemas.openxmlformats.org/officeDocument/2006/relationships" name="DAR_데이터_요구사항" sheetId="9" r:id="R7bdab7ea3ae545df"/>
    <x:sheet xmlns:r="http://schemas.openxmlformats.org/officeDocument/2006/relationships" name="ECR_시스템환경_요구사항" sheetId="10" r:id="R89916845258f453c"/>
    <x:sheet xmlns:r="http://schemas.openxmlformats.org/officeDocument/2006/relationships" name="TER_테스트_요구사항" sheetId="11" r:id="R7118ce8997774ada"/>
    <x:sheet xmlns:r="http://schemas.openxmlformats.org/officeDocument/2006/relationships" name="SER_보안_요구사항" sheetId="12" r:id="R4ba5d8a32910482d"/>
    <x:sheet xmlns:r="http://schemas.openxmlformats.org/officeDocument/2006/relationships" name="QUR_품질_요구사항" sheetId="13" r:id="R0c8c9fa426c94962"/>
    <x:sheet xmlns:r="http://schemas.openxmlformats.org/officeDocument/2006/relationships" name="COR_제약_요구사항" sheetId="14" r:id="R5ef6275293fd41de"/>
    <x:sheet xmlns:r="http://schemas.openxmlformats.org/officeDocument/2006/relationships" name="SAR_안전_요구사항" sheetId="15" r:id="R62c8493c7c1143f7"/>
    <x:sheet xmlns:r="http://schemas.openxmlformats.org/officeDocument/2006/relationships" name="PMR_프로젝트관리_요구사항" sheetId="16" r:id="Rbd00d2f3daaa47cd"/>
    <x:sheet xmlns:r="http://schemas.openxmlformats.org/officeDocument/2006/relationships" name="PSR_프로젝트지원_요구사항" sheetId="17" r:id="R77f876738bbf403b"/>
    <x:sheet xmlns:r="http://schemas.openxmlformats.org/officeDocument/2006/relationships" name="RTM_요구사항추적매트릭스" sheetId="18" r:id="Rf1cf318be5e547b5"/>
    <x:sheet xmlns:r="http://schemas.openxmlformats.org/officeDocument/2006/relationships" name="90_유스케이스" sheetId="19" r:id="R309d68be43ff422c"/>
    <x:sheet xmlns:r="http://schemas.openxmlformats.org/officeDocument/2006/relationships" name="91_용어사전" sheetId="20" r:id="R5ab7ae2fbc6d46aa"/>
    <x:sheet xmlns:r="http://schemas.openxmlformats.org/officeDocument/2006/relationships" name="98_코드정의" sheetId="21" r:id="R5b4deeb8dea44f95"/>
    <x:sheet xmlns:r="http://schemas.openxmlformats.org/officeDocument/2006/relationships" name="99_근거자료" sheetId="22" r:id="Rdf7fa73db1d04640"/>
    <x:sheet xmlns:r="http://schemas.openxmlformats.org/officeDocument/2006/relationships" name="Z1_개정이력" sheetId="23" r:id="R564722785698489e"/>
  </x:sheets>
</x:workbook>
</file>

<file path=xl/sharedStrings.xml><?xml version="1.0" encoding="utf-8"?>
<x:sst xmlns:x="http://schemas.openxmlformats.org/spreadsheetml/2006/main">
  <x:si>
    <x:t xml:space="preserve">FeeGaChu (FGC) 요구사항명세서 — v3.0</x:t>
  </x:si>
  <x:si>
    <x:t xml:space="preserve">2026년 현행 판매수수료 규제 검증 + 2027·2029년 법정 분급 확장 플랫폼</x:t>
  </x:si>
  <x:si>
    <x:t xml:space="preserve">■ 처음 읽는 사람은 이 순서로 — 아래 4개 시트만 보면 개발 시작 가능합니다</x:t>
  </x:si>
  <x:si>
    <x:t xml:space="preserve">순서</x:t>
  </x:si>
  <x:si>
    <x:t xml:space="preserve">시트</x:t>
  </x:si>
  <x:si>
    <x:t xml:space="preserve">여기서 얻는 것</x:t>
  </x:si>
  <x:si>
    <x:t xml:space="preserve">00B_1차_MVP_구현순서</x:t>
  </x:si>
  <x:si>
    <x:t xml:space="preserve">내 단계·기간·완료 게이트 (지금 무엇을 만드나)</x:t>
  </x:si>
  <x:si>
    <x:t xml:space="preserve">담당 카테고리 시트 (FUN / PER / SIR / DAR / ECR / TER / SER / QUR / COR / SAR / PMR / PSR)</x:t>
  </x:si>
  <x:si>
    <x:t xml:space="preserve">실제 구현할 요구사항 — ID·요구사항명·정의·세부규칙·검증기준(인수조건)</x:t>
  </x:si>
  <x:si>
    <x:t xml:space="preserve">02_확정_결정사항</x:t>
  </x:si>
  <x:si>
    <x:t xml:space="preserve">이미 확정된 20건의 규칙 — 다시 논의할 필요 없음 (OI-021~025 5건은 r15 검토중 제안)</x:t>
  </x:si>
  <x:si>
    <x:t xml:space="preserve">91_용어사전</x:t>
  </x:si>
  <x:si>
    <x:t xml:space="preserve">모르는 용어가 나왔을 때만 찾아보기</x:t>
  </x:si>
  <x:si>
    <x:t xml:space="preserve">참고</x:t>
  </x:si>
  <x:si>
    <x:t xml:space="preserve">01_요구사항_마스터 = 178건 전체 목록·필터용 · 03_AsIs_ToBe = 업무 배경 · RTM = 설계·테스트 추적 · 98_코드정의 · 99_근거자료</x:t>
  </x:si>
  <x:si>
    <x:t xml:space="preserve">필요할 때만 열어보면 됩니다</x:t>
  </x:si>
  <x:si>
    <x:t xml:space="preserve">관리용</x:t>
  </x:si>
  <x:si>
    <x:t xml:space="preserve">Z1_개정이력</x:t>
  </x:si>
  <x:si>
    <x:t xml:space="preserve">이전 버전 변경 기록입니다. 최신본만 받은 팀원은 읽지 않아도 됩니다.</x:t>
  </x:si>
  <x:si>
    <x:t xml:space="preserve">※ 요구사항 시트에서 접혀 있는 열(상단 + 표시)은 버전 변경이력·미사용 항목이므로 읽지 않아도 됩니다. 필요하면 + 를 눌러 펼칠 수 있습니다.</x:t>
  </x:si>
  <x:si>
    <x:t xml:space="preserve">문서 ID</x:t>
  </x:si>
  <x:si>
    <x:t xml:space="preserve">FGC-REQ-001</x:t>
  </x:si>
  <x:si>
    <x:t xml:space="preserve">1차 기술범위</x:t>
  </x:si>
  <x:si>
    <x:t xml:space="preserve">Java 21 + Spring Boot + Spring MVC + MyBatis + Thymeleaf + Spring Batch + SPA/MPA 하이브리드</x:t>
  </x:si>
  <x:si>
    <x:t xml:space="preserve">요구사항 KPI</x:t>
  </x:si>
  <x:si>
    <x:t xml:space="preserve">문서 버전</x:t>
  </x:si>
  <x:si>
    <x:t xml:space="preserve">2차 기술범위</x:t>
  </x:si>
  <x:si>
    <x:t xml:space="preserve">Java 21 + Spring Boot + JPA(Spring Data JPA·JPQL·네이티브 쿼리 → 마지막 단계에서 동적 조회를 QueryDSL로 전환 예정) + React + TypeScript + Spring Batch (1차 Job 2개→2차 Job 5개 확장)</x:t>
  </x:si>
  <x:si>
    <x:t xml:space="preserve">전체 요구사항</x:t>
  </x:si>
  <x:si>
    <x:t xml:space="preserve">승인 요구사항</x:t>
  </x:si>
  <x:si>
    <x:t xml:space="preserve">작성 기준일</x:t>
  </x:si>
  <x:si>
    <x:t xml:space="preserve">협업</x:t>
  </x:si>
  <x:si>
    <x:t xml:space="preserve">GitHub Issues·PR·Projects, Git, Notion(회의록·데일리), Google Calendar, Discord</x:t>
  </x:si>
  <x:si>
    <x:t xml:space="preserve">Must 요구사항</x:t>
  </x:si>
  <x:si>
    <x:t xml:space="preserve">기능 요구사항</x:t>
  </x:si>
  <x:si>
    <x:t xml:space="preserve">팀명</x:t>
  </x:si>
  <x:si>
    <x:t xml:space="preserve">수수깡</x:t>
  </x:si>
  <x:si>
    <x:t xml:space="preserve">품질·API</x:t>
  </x:si>
  <x:si>
    <x:t xml:space="preserve">GitHub Actions, Jenkins, Swagger/OpenAPI, Postman</x:t>
  </x:si>
  <x:si>
    <x:t xml:space="preserve">1차 요구사항</x:t>
  </x:si>
  <x:si>
    <x:t xml:space="preserve">비기능 요구사항</x:t>
  </x:si>
  <x:si>
    <x:t xml:space="preserve">공식 프로젝트명</x:t>
  </x:si>
  <x:si>
    <x:t xml:space="preserve">FeeGaChu (FGC)</x:t>
  </x:si>
  <x:si>
    <x:t xml:space="preserve">설계·IDE</x:t>
  </x:si>
  <x:si>
    <x:t xml:space="preserve">Figma, IntelliJ IDEA Ultimate, VS Code</x:t>
  </x:si>
  <x:si>
    <x:t xml:space="preserve">2차 요구사항</x:t>
  </x:si>
  <x:si>
    <x:t xml:space="preserve">관리 요구사항</x:t>
  </x:si>
  <x:si>
    <x:t xml:space="preserve">1차 완료·발표</x:t>
  </x:si>
  <x:si>
    <x:t xml:space="preserve">2026-08-24 (개발 마감 08-23)</x:t>
  </x:si>
  <x:si>
    <x:t xml:space="preserve">아키텍처 원칙</x:t>
  </x:si>
  <x:si>
    <x:t xml:space="preserve">Modular Monolith, 정책 버전관리, 멱등성, 감사추적</x:t>
  </x:si>
  <x:si>
    <x:t xml:space="preserve">확정 결정사항</x:t>
  </x:si>
  <x:si>
    <x:t xml:space="preserve">근거자료</x:t>
  </x:si>
  <x:si>
    <x:t xml:space="preserve">2차 완료·통합발표</x:t>
  </x:si>
  <x:si>
    <x:t xml:space="preserve">2026-11-18 최종 발표·시연 10분 (마스터플랜 마감 11-16 · 코드 동결 11-06)</x:t>
  </x:si>
  <x:si>
    <x:t xml:space="preserve">범위 원칙</x:t>
  </x:si>
  <x:si>
    <x:t xml:space="preserve">실제 송금·GA 전체 ERP·보험상품/보험금 업무 제외 · 원수사 데이터 수집·정규화 제외(COR-010 — 2차는 OI-021 입력 보조 예외만 허용)</x:t>
  </x:si>
  <x:si>
    <x:t xml:space="preserve">릴리스 범위 베이스라인</x:t>
  </x:si>
  <x:si>
    <x:t xml:space="preserve">우선순위·상태 정의</x:t>
  </x:si>
  <x:si>
    <x:t xml:space="preserve">구분</x:t>
  </x:si>
  <x:si>
    <x:t xml:space="preserve">목표</x:t>
  </x:si>
  <x:si>
    <x:t xml:space="preserve">핵심 범위</x:t>
  </x:si>
  <x:si>
    <x:t xml:space="preserve">기술</x:t>
  </x:si>
  <x:si>
    <x:t xml:space="preserve">완료 기준</x:t>
  </x:si>
  <x:si>
    <x:t xml:space="preserve">비고</x:t>
  </x:si>
  <x:si>
    <x:t xml:space="preserve">코드</x:t>
  </x:si>
  <x:si>
    <x:t xml:space="preserve">정의</x:t>
  </x:si>
  <x:si>
    <x:t xml:space="preserve">운영 원칙</x:t>
  </x:si>
  <x:si>
    <x:t xml:space="preserve">1차</x:t>
  </x:si>
  <x:si>
    <x:t xml:space="preserve">2026년 현행 규제·정산 검증 시연</x:t>
  </x:si>
  <x:si>
    <x:t xml:space="preserve">현행 회사별 예상 수입·지급 스케줄 · 계약별 1,200%룰 · 복식부기 검증원장 · 예상/실제 대사 · 차익거래 후보 · 예외·감사</x:t>
  </x:si>
  <x:si>
    <x:t xml:space="preserve">원수사→GA·GA→설계사 예상 스케줄 생성 · 초년도 한도 사전차단 · 차변=대변 원장 · 양방향 대사 · 차익거래 후보 탐지 · 월 통합검증 실행</x:t>
  </x:si>
  <x:si>
    <x:t xml:space="preserve">차익거래 금지기간 확대는 2026.3 시행, GA→설계사 1,200% 확대는 2026.7.1 시행. 원장·대사는 FGC 내부통제 기능</x:t>
  </x:si>
  <x:si>
    <x:t xml:space="preserve">M</x:t>
  </x:si>
  <x:si>
    <x:t xml:space="preserve">Must</x:t>
  </x:si>
  <x:si>
    <x:t xml:space="preserve">해당 릴리스 필수</x:t>
  </x:si>
  <x:si>
    <x:t xml:space="preserve">2차</x:t>
  </x:si>
  <x:si>
    <x:t xml:space="preserve">2027·2029년 법정 분급 검증 확장</x:t>
  </x:si>
  <x:si>
    <x:t xml:space="preserve">1차 스케줄·1200%·원장·대사·차익거래 엔진 재사용 · 4년/7년 분급 · 계약체결비용 · 유지관리·장기유지수수료 · 계약상태·환수 · 화면별 도움말·E2E 업무실습 가이드(FUN-087·088)</x:t>
  </x:si>
  <x:si>
    <x:t xml:space="preserve">Java 21 + Spring Boot + JPA(Spring Data JPA·JPQL·네이티브 쿼리 → 마지막 단계에서 동적 조회를 QueryDSL로 전환 예정) + React + TypeScript + Spring Batch (Job 5개로 확장)</x:t>
  </x:si>
  <x:si>
    <x:t xml:space="preserve">2027~2028 4년·2029~ 7년 스케줄 · 모든 계약 초년도 1,200% 병행 · 계약체결비용 한도 · 유지관리 조건/한도 · 원장·대사 재사용</x:t>
  </x:si>
  <x:si>
    <x:t xml:space="preserve">1차 기능을 폐기하지 않고 API·도메인 인터페이스를 유지한 채 기술스택과 룰셋을 마이그레이션</x:t>
  </x:si>
  <x:si>
    <x:t xml:space="preserve">S</x:t>
  </x:si>
  <x:si>
    <x:t xml:space="preserve">Should</x:t>
  </x:si>
  <x:si>
    <x:t xml:space="preserve">일정 위험 시 협의</x:t>
  </x:si>
  <x:si>
    <x:t xml:space="preserve">공통</x:t>
  </x:si>
  <x:si>
    <x:t xml:space="preserve">프로젝트 통제</x:t>
  </x:si>
  <x:si>
    <x:t xml:space="preserve">요구사항·RTM·Git/GitHub Issue·테스트·보안·산출물·리스크</x:t>
  </x:si>
  <x:si>
    <x:t xml:space="preserve">GitHub(Issues·PR·Projects)/Notion</x:t>
  </x:si>
  <x:si>
    <x:t xml:space="preserve">품질게이트 및 문서-코드 추적</x:t>
  </x:si>
  <x:si>
    <x:t xml:space="preserve">전 기간</x:t>
  </x:si>
  <x:si>
    <x:t xml:space="preserve">C</x:t>
  </x:si>
  <x:si>
    <x:t xml:space="preserve">Could</x:t>
  </x:si>
  <x:si>
    <x:t xml:space="preserve">여유 범위</x:t>
  </x:si>
  <x:si>
    <x:t xml:space="preserve">W</x:t>
  </x:si>
  <x:si>
    <x:t xml:space="preserve">Won't</x:t>
  </x:si>
  <x:si>
    <x:t xml:space="preserve">현 베이스라인 제외</x:t>
  </x:si>
  <x:si>
    <x:t xml:space="preserve">요구사항 분류 현황</x:t>
  </x:si>
  <x:si>
    <x:t xml:space="preserve">작성 원칙·중요 가정</x:t>
  </x:si>
  <x:si>
    <x:t xml:space="preserve">카테고리</x:t>
  </x:si>
  <x:si>
    <x:t xml:space="preserve">요구사항 수</x:t>
  </x:si>
  <x:si>
    <x:t xml:space="preserve">주 담당</x:t>
  </x:si>
  <x:si>
    <x:t xml:space="preserve">내용</x:t>
  </x:si>
  <x:si>
    <x:t xml:space="preserve">기능</x:t>
  </x:si>
  <x:si>
    <x:t xml:space="preserve">Backend/Frontend</x:t>
  </x:si>
  <x:si>
    <x:t xml:space="preserve">정책 기준</x:t>
  </x:si>
  <x:si>
    <x:t xml:space="preserve">법규·FAQ·회사정책은 적용일과 버전을 가진 데이터로 관리하며 근거 없는 요율 하드코딩을 금지한다.</x:t>
  </x:si>
  <x:si>
    <x:t xml:space="preserve">성능</x:t>
  </x:si>
  <x:si>
    <x:t xml:space="preserve">DevOps/QA</x:t>
  </x:si>
  <x:si>
    <x:t xml:space="preserve">정합성</x:t>
  </x:si>
  <x:si>
    <x:t xml:space="preserve">금액은 BigDecimal/DECIMAL, 중복 방지 유니크키, 배치 재시작, 마감 후 정정분개를 원칙으로 한다.</x:t>
  </x:si>
  <x:si>
    <x:t xml:space="preserve">인터페이스</x:t>
  </x:si>
  <x:si>
    <x:t xml:space="preserve">데이터</x:t>
  </x:si>
  <x:si>
    <x:t xml:space="preserve">원수사 제공 데이터(수수료율표·지급방식표·환수율표·해약환급금표·시책표·지급명세 등)는 정규화되어 DB에 이미 적재된 것으로 전제한다(COR-010). 1차에는 정책·계약·예상스케줄·실제명세·보험료/환급금 스냅샷 시드를 제공하며 파일 업로드 기능은 만들지 않는다. 2차에는 OI-021 결정(2026-10-22)에 따라 사람이 받은 문서를 올려 검토·확정하는 입력 보조만 예외로 둔다(허용 서식·합성 문서·사람 확정).</x:t>
  </x:si>
  <x:si>
    <x:t xml:space="preserve">Backend/Data</x:t>
  </x:si>
  <x:si>
    <x:t xml:space="preserve">규제 면책</x:t>
  </x:si>
  <x:si>
    <x:t xml:space="preserve">교육용 프로토타입으로 실제 규제준수·지급결정 전에 GA/보험사 실무자와 준법 전문가 검토가 필요하다.</x:t>
  </x:si>
  <x:si>
    <x:t xml:space="preserve">시스템환경</x:t>
  </x:si>
  <x:si>
    <x:t xml:space="preserve">DevOps</x:t>
  </x:si>
  <x:si>
    <x:t xml:space="preserve">최종 릴리스 원칙</x:t>
  </x:si>
  <x:si>
    <x:t xml:space="preserve">1차는 기존 회사별 지급방식의 예상 스케줄을 생성하고 2026년 현재 적용 중인 1,200%룰·차익거래 규제와 원장·대사를 검증한다. 2차는 같은 엔진에 4년·7년 법정 분급, 계약체결비용, 유지관리수수료 조건을 추가한다.</x:t>
  </x:si>
  <x:si>
    <x:t xml:space="preserve">테스트</x:t>
  </x:si>
  <x:si>
    <x:t xml:space="preserve">QA/All</x:t>
  </x:si>
  <x:si>
    <x:t xml:space="preserve">도메인 검증</x:t>
  </x:si>
  <x:si>
    <x:t xml:space="preserve">정책·명세·역할은 공식자료·첨부 실무자료의 교차검토와 확정 결정사항 시트에서 확정한다. 현업 인터뷰를 전제로 완료조건을 두지 않는다.</x:t>
  </x:si>
  <x:si>
    <x:t xml:space="preserve">보안</x:t>
  </x:si>
  <x:si>
    <x:t xml:space="preserve">Security/Backend</x:t>
  </x:si>
  <x:si>
    <x:t xml:space="preserve">NCS 매핑</x:t>
  </x:si>
  <x:si>
    <x:t xml:space="preserve">보험모집 영업지원툴, 판매 후 사후관리, 지급금 기준/관리, 위험관리·정보보호 능력단위와 연결한다.</x:t>
  </x:si>
  <x:si>
    <x:t xml:space="preserve">품질</x:t>
  </x:si>
  <x:si>
    <x:t xml:space="preserve">QA/Tech Lead</x:t>
  </x:si>
  <x:si>
    <x:t xml:space="preserve">제약</x:t>
  </x:si>
  <x:si>
    <x:t xml:space="preserve">PM/Architect</x:t>
  </x:si>
  <x:si>
    <x:t xml:space="preserve">안전</x:t>
  </x:si>
  <x:si>
    <x:t xml:space="preserve">Backend/QA</x:t>
  </x:si>
  <x:si>
    <x:t xml:space="preserve">프로젝트관리</x:t>
  </x:si>
  <x:si>
    <x:t xml:space="preserve">PM/All</x:t>
  </x:si>
  <x:si>
    <x:t xml:space="preserve">프로젝트지원</x:t>
  </x:si>
  <x:si>
    <x:t xml:space="preserve">PM/DevOps</x:t>
  </x:si>
  <x:si>
    <x:t xml:space="preserve">요구사항 생명주기: 초안 → 검토중 → 승인 → 구현중 → 구현완료 → 테스트완료 → 인수완료</x:t>
  </x:si>
  <x:si>
    <x:t xml:space="preserve">FGC 1차 최종 구현순서 — 2026-08-23 개발 완료 기준</x:t>
  </x:si>
  <x:si>
    <x:t xml:space="preserve">단계</x:t>
  </x:si>
  <x:si>
    <x:t xml:space="preserve">기간</x:t>
  </x:si>
  <x:si>
    <x:t xml:space="preserve">핵심 요구사항</x:t>
  </x:si>
  <x:si>
    <x:t xml:space="preserve">Backend</x:t>
  </x:si>
  <x:si>
    <x:t xml:space="preserve">Frontend</x:t>
  </x:si>
  <x:si>
    <x:t xml:space="preserve">DB·Test·DevOps</x:t>
  </x:si>
  <x:si>
    <x:t xml:space="preserve">완료 게이트</x:t>
  </x:si>
  <x:si>
    <x:t xml:space="preserve">0. 범위·설계 고정</x:t>
  </x:si>
  <x:si>
    <x:t xml:space="preserve">07/31~08/02</x:t>
  </x:si>
  <x:si>
    <x:t xml:space="preserve">v2.2 요구사항·1차 ERD·데모 시나리오 고정</x:t>
  </x:si>
  <x:si>
    <x:t xml:space="preserve">COR-010, DAR-001, OI-017~020</x:t>
  </x:si>
  <x:si>
    <x:t xml:space="preserve">모듈·API·계산입출력 확정</x:t>
  </x:si>
  <x:si>
    <x:t xml:space="preserve">화면목록·와이어프레임 확정</x:t>
  </x:si>
  <x:si>
    <x:t xml:space="preserve">정책·계약·스케줄·원장·대사·예외 테이블 확정</x:t>
  </x:si>
  <x:si>
    <x:t xml:space="preserve">팀 전원 범위 합의, 1차/2차 혼용 0건</x:t>
  </x:si>
  <x:si>
    <x:t xml:space="preserve">1. 공통기반·시드</x:t>
  </x:si>
  <x:si>
    <x:t xml:space="preserve">08/03~08/05</x:t>
  </x:si>
  <x:si>
    <x:t xml:space="preserve">로그인·권한·PostgreSQL·정규화 시드</x:t>
  </x:si>
  <x:si>
    <x:t xml:space="preserve">FUN-001~002, FUN-005~009, FUN-011, DAR-011</x:t>
  </x:si>
  <x:si>
    <x:t xml:space="preserve">Security, 공통오류, 정책조회</x:t>
  </x:si>
  <x:si>
    <x:t xml:space="preserve">로그인·공통레이아웃·선택목록</x:t>
  </x:si>
  <x:si>
    <x:t xml:space="preserve">Flyway, 정책/상품/계약/명세/보험료·환급금 시드</x:t>
  </x:si>
  <x:si>
    <x:t xml:space="preserve">팀원 5명 로컬구동, 시드 조회 성공</x:t>
  </x:si>
  <x:si>
    <x:t xml:space="preserve">2. 계약·현행 스케줄</x:t>
  </x:si>
  <x:si>
    <x:t xml:space="preserve">08/06~08/09</x:t>
  </x:si>
  <x:si>
    <x:t xml:space="preserve">계약·지급 건과 양방향 예상스케줄</x:t>
  </x:si>
  <x:si>
    <x:t xml:space="preserve">FUN-018, FUN-036~040, FUN-065</x:t>
  </x:si>
  <x:si>
    <x:t xml:space="preserve">계약/지급 CRUD, PolicyResolver, ScheduleGenerator</x:t>
  </x:si>
  <x:si>
    <x:t xml:space="preserve">계약·지급·스케줄 목록/상세</x:t>
  </x:si>
  <x:si>
    <x:t xml:space="preserve">업무키 UNIQUE, 스케줄 Golden Test</x:t>
  </x:si>
  <x:si>
    <x:t xml:space="preserve">원수사→GA·GA→FC 기대금액 일치, 재실행 중복 0</x:t>
  </x:si>
  <x:si>
    <x:t xml:space="preserve">3. 1200%·차익거래</x:t>
  </x:si>
  <x:si>
    <x:t xml:space="preserve">08/10~08/13</x:t>
  </x:si>
  <x:si>
    <x:t xml:space="preserve">현재 규제 핵심 검증</x:t>
  </x:si>
  <x:si>
    <x:t xml:space="preserve">FUN-012~013, FUN-030~035, FUN-063</x:t>
  </x:si>
  <x:si>
    <x:t xml:space="preserve">CapValidator, ArbitrageValidator, 계산근거</x:t>
  </x:si>
  <x:si>
    <x:t xml:space="preserve">한도게이지·차익거래 상세</x:t>
  </x:si>
  <x:si>
    <x:t xml:space="preserve">90%·100%·초과·후보·입력부족 테스트</x:t>
  </x:si>
  <x:si>
    <x:t xml:space="preserve">초과 확정 차단, 후보 최초시점 일치</x:t>
  </x:si>
  <x:si>
    <x:t xml:space="preserve">4. 복식원장·대사</x:t>
  </x:si>
  <x:si>
    <x:t xml:space="preserve">08/14~08/17</x:t>
  </x:si>
  <x:si>
    <x:t xml:space="preserve">예상·실제 돈흐름 정합성 검증</x:t>
  </x:si>
  <x:si>
    <x:t xml:space="preserve">FUN-046~053</x:t>
  </x:si>
  <x:si>
    <x:t xml:space="preserve">Journal/Reverse, Reconciliation, Exception</x:t>
  </x:si>
  <x:si>
    <x:t xml:space="preserve">원장·대사·예외 목록/상세</x:t>
  </x:si>
  <x:si>
    <x:t xml:space="preserve">차변=대변, 일치·누락·중복·금액차 테스트</x:t>
  </x:si>
  <x:si>
    <x:t xml:space="preserve">불균형 저장 0, 기대 불일치 건수 일치</x:t>
  </x:si>
  <x:si>
    <x:t xml:space="preserve">5. 월 통합검증</x:t>
  </x:si>
  <x:si>
    <x:t xml:space="preserve">08/18~08/19</x:t>
  </x:si>
  <x:si>
    <x:t xml:space="preserve">한 번의 실행으로 규제·대사 결과 확정</x:t>
  </x:si>
  <x:si>
    <x:t xml:space="preserve">FUN-041~044, FUN-057, FUN-061</x:t>
  </x:si>
  <x:si>
    <x:t xml:space="preserve">실행 오케스트레이터·집계·잠금</x:t>
  </x:si>
  <x:si>
    <x:t xml:space="preserve">실행 목록/상세·간단 대시보드</x:t>
  </x:si>
  <x:si>
    <x:t xml:space="preserve">재실행·합계·감사로그 시험</x:t>
  </x:si>
  <x:si>
    <x:t xml:space="preserve">상세합=요약합, 확정결과 수정 0</x:t>
  </x:si>
  <x:si>
    <x:t xml:space="preserve">6. 통합시험·결함수정</x:t>
  </x:si>
  <x:si>
    <x:t xml:space="preserve">08/20~08/22</x:t>
  </x:si>
  <x:si>
    <x:t xml:space="preserve">핵심 데모 반복·회귀·보안 점검</x:t>
  </x:si>
  <x:si>
    <x:t xml:space="preserve">TER-001~003, TER-005, TER-007, TER-009~010</x:t>
  </x:si>
  <x:si>
    <x:t xml:space="preserve">결함수정·로그보강</x:t>
  </x:si>
  <x:si>
    <x:t xml:space="preserve">메시지·동선·빈화면 정리</x:t>
  </x:si>
  <x:si>
    <x:t xml:space="preserve">Postman/Newman, PostgreSQL 통합, 발표 시드 초기화</x:t>
  </x:si>
  <x:si>
    <x:t xml:space="preserve">핵심 시나리오 3회 연속 성공</x:t>
  </x:si>
  <x:si>
    <x:t xml:space="preserve">7. 코드 동결·배포</x:t>
  </x:si>
  <x:si>
    <x:t xml:space="preserve">08/23</x:t>
  </x:si>
  <x:si>
    <x:t xml:space="preserve">기능 추가 중단·발표본 고정</x:t>
  </x:si>
  <x:si>
    <x:t xml:space="preserve">PMR-007, PMR-010~011, PSR-006</x:t>
  </x:si>
  <x:si>
    <x:t xml:space="preserve">릴리스 태그·백업·롤백</x:t>
  </x:si>
  <x:si>
    <x:t xml:space="preserve">발표 동선·예비화면</x:t>
  </x:si>
  <x:si>
    <x:t xml:space="preserve">README·데이터 초기화·백업영상</x:t>
  </x:si>
  <x:si>
    <x:t xml:space="preserve">08/23 최종빌드 고정, 08/24 발표만 수행</x:t>
  </x:si>
  <x:si>
    <x:t xml:space="preserve">1차 최소 화면: 로그인 / 기준정보 조회 / 계약·지급 건 / 현행 예상스케줄 / 계약별 1,200% / 차익거래 상세 / 복식원장 / 대사 실행·상세 / 예외함 / 월 통합검증. 대시보드·보고서 출력은 일정에 따라 축소할 수 있으나 계산·원장·대사 API와 테스트는 유지한다.</x:t>
  </x:si>
  <x:si>
    <x:t xml:space="preserve">No</x:t>
  </x:si>
  <x:si>
    <x:t xml:space="preserve">요구사항ID</x:t>
  </x:si>
  <x:si>
    <x:t xml:space="preserve">요구사항명</x:t>
  </x:si>
  <x:si>
    <x:t xml:space="preserve">릴리스</x:t>
  </x:si>
  <x:si>
    <x:t xml:space="preserve">진행 여부</x:t>
  </x:si>
  <x:si>
    <x:t xml:space="preserve">우선순위</x:t>
  </x:si>
  <x:si>
    <x:t xml:space="preserve">복잡도</x:t>
  </x:si>
  <x:si>
    <x:t xml:space="preserve">유형</x:t>
  </x:si>
  <x:si>
    <x:t xml:space="preserve">담당역할</x:t>
  </x:si>
  <x:si>
    <x:t xml:space="preserve">상태</x:t>
  </x:si>
  <x:si>
    <x:t xml:space="preserve">관련요구사항</x:t>
  </x:si>
  <x:si>
    <x:t xml:space="preserve">Epic(도메인 묶음)</x:t>
  </x:si>
  <x:si>
    <x:t xml:space="preserve">근거/비고</x:t>
  </x:si>
  <x:si>
    <x:t xml:space="preserve">최종 변경·비고</x:t>
  </x:si>
  <x:si>
    <x:t xml:space="preserve">FGC-FUN-001</x:t>
  </x:si>
  <x:si>
    <x:t xml:space="preserve">사용자 로그인·로그아웃</x:t>
  </x:si>
  <x:si>
    <x:t xml:space="preserve">진행</x:t>
  </x:si>
  <x:si>
    <x:t xml:space="preserve">중</x:t>
  </x:si>
  <x:si>
    <x:t xml:space="preserve">승인</x:t>
  </x:si>
  <x:si>
    <x:t xml:space="preserve">EPIC-IDENTITY</x:t>
  </x:si>
  <x:si>
    <x:t xml:space="preserve">SRC-004,SRC-005</x:t>
  </x:si>
  <x:si>
    <x:t xml:space="preserve">FGC-FUN-002</x:t>
  </x:si>
  <x:si>
    <x:t xml:space="preserve">역할 기반 접근제어</x:t>
  </x:si>
  <x:si>
    <x:t xml:space="preserve">상</x:t>
  </x:si>
  <x:si>
    <x:t xml:space="preserve">SRC-006</x:t>
  </x:si>
  <x:si>
    <x:t xml:space="preserve">FGC-FUN-003</x:t>
  </x:si>
  <x:si>
    <x:t xml:space="preserve">사용자 계정 관리</x:t>
  </x:si>
  <x:si>
    <x:t xml:space="preserve">후순위</x:t>
  </x:si>
  <x:si>
    <x:t xml:space="preserve">v3.0 (2026-10-26, 현준): 포함 확정(S), 구현 후순위. 이전 개정은 Z1_개정이력 참조.</x:t>
  </x:si>
  <x:si>
    <x:t xml:space="preserve">FGC-FUN-004</x:t>
  </x:si>
  <x:si>
    <x:t xml:space="preserve">FGC-FUN-005</x:t>
  </x:si>
  <x:si>
    <x:t xml:space="preserve">GA·조직 기준정보 조회·선택</x:t>
  </x:si>
  <x:si>
    <x:t xml:space="preserve">EPIC-MASTER</x:t>
  </x:si>
  <x:si>
    <x:t xml:space="preserve">v2.1: 1차 기준정보 CRUD 제거</x:t>
  </x:si>
  <x:si>
    <x:t xml:space="preserve">FGC-FUN-006</x:t>
  </x:si>
  <x:si>
    <x:t xml:space="preserve">보험회사 기준정보 조회·선택</x:t>
  </x:si>
  <x:si>
    <x:t xml:space="preserve">하</x:t>
  </x:si>
  <x:si>
    <x:t xml:space="preserve">SRC-005</x:t>
  </x:si>
  <x:si>
    <x:t xml:space="preserve">FGC-FUN-007</x:t>
  </x:si>
  <x:si>
    <x:t xml:space="preserve">보험상품 기준정보 조회·선택</x:t>
  </x:si>
  <x:si>
    <x:t xml:space="preserve">SRC-004,SRC-009,SRC-014,REG-19</x:t>
  </x:si>
  <x:si>
    <x:t xml:space="preserve">v2.2.1: REG-19 적용체계 판정 필드 추가</x:t>
  </x:si>
  <x:si>
    <x:t xml:space="preserve">FGC-FUN-008</x:t>
  </x:si>
  <x:si>
    <x:t xml:space="preserve">보험설계사 기준정보 조회·선택</x:t>
  </x:si>
  <x:si>
    <x:t xml:space="preserve">SRC-004,SRC-005,SRC-014,REG-21,SRC-025</x:t>
  </x:si>
  <x:si>
    <x:t xml:space="preserve">v2.2.1: REG-21 신인 판정 필드 추가</x:t>
  </x:si>
  <x:si>
    <x:t xml:space="preserve">FGC-FUN-009</x:t>
  </x:si>
  <x:si>
    <x:t xml:space="preserve">수수료 항목 기준정보 조회·선택</x:t>
  </x:si>
  <x:si>
    <x:t xml:space="preserve">PM/Backend</x:t>
  </x:si>
  <x:si>
    <x:t xml:space="preserve">SRC-001,SRC-002,SRC-004</x:t>
  </x:si>
  <x:si>
    <x:t xml:space="preserve">v2.1: 1차 항목 CRUD 제거·산입판정 책임 분리</x:t>
  </x:si>
  <x:si>
    <x:t xml:space="preserve">FGC-FUN-010</x:t>
  </x:si>
  <x:si>
    <x:t xml:space="preserve">계약 담당 설계사 이력 관리</x:t>
  </x:si>
  <x:si>
    <x:t xml:space="preserve">미진행</x:t>
  </x:si>
  <x:si>
    <x:t xml:space="preserve">Backend/Domain</x:t>
  </x:si>
  <x:si>
    <x:t xml:space="preserve">SRC-001,SRC-005,REG-07</x:t>
  </x:si>
  <x:si>
    <x:t xml:space="preserve">v3.0 (2026-10-26, 현준): 팀 합의로 2차 범위 제외(미진행). 요구사항 ID와 기존 정의는 변경 이력으로 보존하며 이번 구현·인수 대상에는 포함하지 않는다.</x:t>
  </x:si>
  <x:si>
    <x:t xml:space="preserve">FGC-FUN-011</x:t>
  </x:si>
  <x:si>
    <x:t xml:space="preserve">현행 수수료 정책 조회·적용</x:t>
  </x:si>
  <x:si>
    <x:t xml:space="preserve">FGC-FUN-005~009,FGC-FUN-018</x:t>
  </x:si>
  <x:si>
    <x:t xml:space="preserve">EPIC-POLICY</x:t>
  </x:si>
  <x:si>
    <x:t xml:space="preserve">SRC-001,SRC-003,SRC-004,SRC-010,SRC-014,REG-22</x:t>
  </x:si>
  <x:si>
    <x:t xml:space="preserve">v2.2.1: 지급기준 불변 버전·기초서류 근거 연결</x:t>
  </x:si>
  <x:si>
    <x:t xml:space="preserve">FGC-FUN-012</x:t>
  </x:si>
  <x:si>
    <x:t xml:space="preserve">1,200% 검증기준 버전 관리</x:t>
  </x:si>
  <x:si>
    <x:t xml:space="preserve">SRC-001,SRC-002,SRC-003,SRC-014,REG-08~11,REG-19,REG-22,SRC-022</x:t>
  </x:si>
  <x:si>
    <x:t xml:space="preserve">v2.2.1: 지급단계별 1,200% 게이지·REG-19/22 반영</x:t>
  </x:si>
  <x:si>
    <x:t xml:space="preserve">FGC-FUN-013</x:t>
  </x:si>
  <x:si>
    <x:t xml:space="preserve">1,200%룰 포함·제외 항목 설정</x:t>
  </x:si>
  <x:si>
    <x:t xml:space="preserve">FGC-FUN-009,FGC-FUN-012</x:t>
  </x:si>
  <x:si>
    <x:t xml:space="preserve">SRC-001,SRC-002,SRC-003,SRC-014,REG-06A~06C,REG-09~11,REG-20~22,SRC-022</x:t>
  </x:si>
  <x:si>
    <x:t xml:space="preserve">v2.2.1: 공통비·정착지원금·준법경영비 규칙 정정</x:t>
  </x:si>
  <x:si>
    <x:t xml:space="preserve">FGC-FUN-014</x:t>
  </x:si>
  <x:si>
    <x:t xml:space="preserve">4년·7년 법정 분급 규칙 설정 (유지관리·장기유지 포함)</x:t>
  </x:si>
  <x:si>
    <x:t xml:space="preserve">FGC-FUN-012,FGC-FUN-017,FGC-FUN-037,FGC-FUN-038,FGC-FUN-062</x:t>
  </x:si>
  <x:si>
    <x:t xml:space="preserve">SRC-001,SRC-003,SRC-005,SRC-014,REG-01,REG-03,REG-04,REG-19</x:t>
  </x:si>
  <x:si>
    <x:t xml:space="preserve">v3.0 (2026-10-26, 현준): 포함 확정(M). 유지관리·장기유지 예정 스케줄의 정책값을 관리하며 FUN-064 검증은 제외한다. 이전 개정은 Z1_개정이력 참조.</x:t>
  </x:si>
  <x:si>
    <x:t xml:space="preserve">FGC-FUN-015</x:t>
  </x:si>
  <x:si>
    <x:t xml:space="preserve">계약상태별 지급조건 설정</x:t>
  </x:si>
  <x:si>
    <x:t xml:space="preserve">v3.0 (2026-10-26, 현준): 포함 확정(M). 상태별 보류·재개 조건 유지. 이전 개정은 Z1_개정이력 참조.</x:t>
  </x:si>
  <x:si>
    <x:t xml:space="preserve">FGC-FUN-016</x:t>
  </x:si>
  <x:si>
    <x:t xml:space="preserve">정책 근거자료 연결</x:t>
  </x:si>
  <x:si>
    <x:t xml:space="preserve">SRC-001,SRC-002,SRC-003,SRC-014,REG-22,REG-24</x:t>
  </x:si>
  <x:si>
    <x:t xml:space="preserve">v3.0 (2026-10-26, 현준): 포함 확정(S). info 아이콘의 정책 근거·상세 설명을 추가한다. 이전 개정은 Z1_개정이력 참조.</x:t>
  </x:si>
  <x:si>
    <x:t xml:space="preserve">FGC-FUN-017</x:t>
  </x:si>
  <x:si>
    <x:t xml:space="preserve">수수료 정책 등록·검토·승인·활성화</x:t>
  </x:si>
  <x:si>
    <x:t xml:space="preserve">FGC-FUN-011,FGC-FUN-012,FGC-FUN-014</x:t>
  </x:si>
  <x:si>
    <x:t xml:space="preserve">SRC-006,SRC-014,REG-01~11,REG-22,REG-24</x:t>
  </x:si>
  <x:si>
    <x:t xml:space="preserve">v3.0 (2026-10-26, 현준): 포함 확정(S). 제외 의견을 철회하고 정책 등록·검토·승인·활성화를 유지한다. 이전 개정은 Z1_개정이력 참조.</x:t>
  </x:si>
  <x:si>
    <x:t xml:space="preserve">FGC-FUN-018</x:t>
  </x:si>
  <x:si>
    <x:t xml:space="preserve">보험계약 수기 등록·수정</x:t>
  </x:si>
  <x:si>
    <x:t xml:space="preserve">FGC-FUN-006,FGC-FUN-007,FGC-FUN-008,FGC-FUN-063</x:t>
  </x:si>
  <x:si>
    <x:t xml:space="preserve">EPIC-CONTRACT</x:t>
  </x:si>
  <x:si>
    <x:t xml:space="preserve">재정의 — CSV 업로드(구 FUN-019) 삭제로, 화면 등록 + 시드 적재가 계약 입력의 유일한 경로</x:t>
  </x:si>
  <x:si>
    <x:t xml:space="preserve">FGC-FUN-025</x:t>
  </x:si>
  <x:si>
    <x:t xml:space="preserve">보험계약 상태 생명주기 관리</x:t>
  </x:si>
  <x:si>
    <x:t xml:space="preserve">v3.0 (2026-10-26, 현준): 포함 확정(M). 이전 개정은 Z1_개정이력 참조.</x:t>
  </x:si>
  <x:si>
    <x:t xml:space="preserve">FGC-FUN-026</x:t>
  </x:si>
  <x:si>
    <x:t xml:space="preserve">계약상태 이벤트 등록·수집</x:t>
  </x:si>
  <x:si>
    <x:t xml:space="preserve">v3.0 (2026-10-26, 현준): 포함 확정(M). 상태 변경 사건 기록은 FUN-027 이력 조회의 선행 기능이다. 이전 개정은 Z1_개정이력 참조.</x:t>
  </x:si>
  <x:si>
    <x:t xml:space="preserve">FGC-FUN-027</x:t>
  </x:si>
  <x:si>
    <x:t xml:space="preserve">계약상태 변경 이력 조회</x:t>
  </x:si>
  <x:si>
    <x:t xml:space="preserve">구현중</x:t>
  </x:si>
  <x:si>
    <x:t xml:space="preserve">v3.0 (2026-10-26, 현준): 구현중(S). 로컬 develop 확인: 조회 API·타임라인·시간순 정렬은 구현. 처리자 응답·표시 누락, 계약 수정 시 사건 기록은 FUN-026 TODO. 화면 테스트 2건 통과, 백엔드 테스트는 Gradle 캐시 권한 문제로 실행하지 못했다. 이전 개정은 Z1_개정이력 참조.</x:t>
  </x:si>
  <x:si>
    <x:t xml:space="preserve">FGC-FUN-028</x:t>
  </x:si>
  <x:si>
    <x:t xml:space="preserve">실효·해지 시 미확정 지급 건 보류</x:t>
  </x:si>
  <x:si>
    <x:t xml:space="preserve">FGC-FUN-015,FGC-FUN-025,FGC-FUN-026</x:t>
  </x:si>
  <x:si>
    <x:t xml:space="preserve">v3.0 (2026-10-26, 현준): 포함 확정(M). 미확정 지급 건 보류 유지. 이전 개정은 Z1_개정이력 참조.</x:t>
  </x:si>
  <x:si>
    <x:t xml:space="preserve">FGC-FUN-029</x:t>
  </x:si>
  <x:si>
    <x:t xml:space="preserve">부활 시 지급 재개 판단</x:t>
  </x:si>
  <x:si>
    <x:t xml:space="preserve">FGC-FUN-015,FGC-FUN-028</x:t>
  </x:si>
  <x:si>
    <x:t xml:space="preserve">v3.0 (2026-10-26, 현준): 포함 확정(S). 제외 의견을 철회하고 부활 시 정책·효력일 기준 지급 재개 판단을 유지한다. 이전 개정은 Z1_개정이력 참조.</x:t>
  </x:si>
  <x:si>
    <x:t xml:space="preserve">FGC-FUN-030</x:t>
  </x:si>
  <x:si>
    <x:t xml:space="preserve">초년도 수수료 한도 계산</x:t>
  </x:si>
  <x:si>
    <x:t xml:space="preserve">FGC-FUN-012,FGC-FUN-013,FGC-FUN-018,FGC-FUN-036~038</x:t>
  </x:si>
  <x:si>
    <x:t xml:space="preserve">EPIC-CAP</x:t>
  </x:si>
  <x:si>
    <x:t xml:space="preserve">SRC-001,SRC-002,SRC-003,SRC-014,REG-08,REG-09,REG-23,SRC-022,SRC-025</x:t>
  </x:si>
  <x:si>
    <x:t xml:space="preserve">v2.2.1: REG-23 예상 해약환급률표 연계</x:t>
  </x:si>
  <x:si>
    <x:t xml:space="preserve">FGC-FUN-031</x:t>
  </x:si>
  <x:si>
    <x:t xml:space="preserve">한도 포함 보상 합산</x:t>
  </x:si>
  <x:si>
    <x:t xml:space="preserve">FGC-FUN-009,FGC-FUN-013,FGC-FUN-030,FGC-FUN-065</x:t>
  </x:si>
  <x:si>
    <x:t xml:space="preserve">SRC-001,SRC-002,SRC-014,SRC-025,SRC-029,REG-06A~06C,REG-09~11,REG-20~22</x:t>
  </x:si>
  <x:si>
    <x:t xml:space="preserve">v2.2.1: REG-20 정착지원금 귀속·REG-06C 공통비 배부 반영</x:t>
  </x:si>
  <x:si>
    <x:t xml:space="preserve">FGC-FUN-032</x:t>
  </x:si>
  <x:si>
    <x:t xml:space="preserve">계약별 한도 사용량 조회</x:t>
  </x:si>
  <x:si>
    <x:t xml:space="preserve">FGC-FUN-030,FGC-FUN-031</x:t>
  </x:si>
  <x:si>
    <x:t xml:space="preserve">v2.1: 계약별 규제판정 기준 명확화</x:t>
  </x:si>
  <x:si>
    <x:t xml:space="preserve">FGC-FUN-033</x:t>
  </x:si>
  <x:si>
    <x:t xml:space="preserve">지급 전 한도 사전검증</x:t>
  </x:si>
  <x:si>
    <x:t xml:space="preserve">FGC-FUN-030,FGC-FUN-031,FGC-FUN-036~038,FGC-FUN-065</x:t>
  </x:si>
  <x:si>
    <x:t xml:space="preserve">SRC-002,SRC-003,REG-08</x:t>
  </x:si>
  <x:si>
    <x:t xml:space="preserve">v2.2: 모든 룰셋의 첫 1년에 1,200% 사전게이트 적용</x:t>
  </x:si>
  <x:si>
    <x:t xml:space="preserve">FGC-FUN-034</x:t>
  </x:si>
  <x:si>
    <x:t xml:space="preserve">한도 위반 예외 건 생성</x:t>
  </x:si>
  <x:si>
    <x:t xml:space="preserve">FGC-FUN-032,FGC-FUN-033</x:t>
  </x:si>
  <x:si>
    <x:t xml:space="preserve">SRC-005,SRC-032</x:t>
  </x:si>
  <x:si>
    <x:t xml:space="preserve">v2.1: 초과 승인 경로 제거</x:t>
  </x:si>
  <x:si>
    <x:t xml:space="preserve">FGC-FUN-035</x:t>
  </x:si>
  <x:si>
    <x:t xml:space="preserve">한도 계산 근거 설명</x:t>
  </x:si>
  <x:si>
    <x:t xml:space="preserve">FGC-FUN-012,FGC-FUN-013,FGC-FUN-030,FGC-FUN-031</x:t>
  </x:si>
  <x:si>
    <x:t xml:space="preserve">FGC-FUN-036</x:t>
  </x:si>
  <x:si>
    <x:t xml:space="preserve">현행 예상 수입·지급 스케줄 생성</x:t>
  </x:si>
  <x:si>
    <x:t xml:space="preserve">FGC-FUN-011,FGC-FUN-018,FGC-FUN-065</x:t>
  </x:si>
  <x:si>
    <x:t xml:space="preserve">EPIC-SCHEDULE</x:t>
  </x:si>
  <x:si>
    <x:t xml:space="preserve">SRC-003,SRC-004,SRC-008,SRC-010,특허 KR20110049433A·KR20120105601A</x:t>
  </x:si>
  <x:si>
    <x:t xml:space="preserve">v2.2: 예전부터 존재한 회사별 회차 지급스케줄을 1차 핵심기능으로 복원</x:t>
  </x:si>
  <x:si>
    <x:t xml:space="preserve">FGC-FUN-037</x:t>
  </x:si>
  <x:si>
    <x:t xml:space="preserve">4년 법정 분급 예정 스케줄 생성·조회</x:t>
  </x:si>
  <x:si>
    <x:t xml:space="preserve">FGC-FUN-014,FGC-FUN-015,FGC-FUN-017,FGC-FUN-025,FGC-FUN-026,FGC-FUN-028,FGC-FUN-029,FGC-FUN-030,FGC-FUN-033,FGC-FUN-036,FGC-FUN-062</x:t>
  </x:si>
  <x:si>
    <x:t xml:space="preserve">SRC-001,SRC-003,SRC-014,REG-03,REG-04,REG-19,SRC-022</x:t>
  </x:si>
  <x:si>
    <x:t xml:space="preserve">v3.0 (2026-10-26, 현준): 포함 확정(M). 예정 스케줄 생성·조회로 범위 축소. FUN-064 검증 및 회차 확정은 제외, 상태별 보류·재개와 FUN-062는 별도 기능으로 유지한다. 이전 개정은 Z1_개정이력 참조.</x:t>
  </x:si>
  <x:si>
    <x:t xml:space="preserve">FGC-FUN-038</x:t>
  </x:si>
  <x:si>
    <x:t xml:space="preserve">7년 법정 분급·장기유지 예정 스케줄 생성·조회</x:t>
  </x:si>
  <x:si>
    <x:t xml:space="preserve">SRC-001,SRC-003,SRC-014,REG-03,REG-05,REG-19,SRC-022</x:t>
  </x:si>
  <x:si>
    <x:t xml:space="preserve">v3.0 (2026-10-26, 현준): 포함 확정(M). 예정 스케줄 생성·조회로 범위 축소. FUN-064 검증 및 회차 확정은 제외하고 계약의 설계사 연결은 고정한다. 이전 개정은 Z1_개정이력 참조.</x:t>
  </x:si>
  <x:si>
    <x:t xml:space="preserve">FGC-FUN-039</x:t>
  </x:si>
  <x:si>
    <x:t xml:space="preserve">스케줄 상태·조정·버전 관리</x:t>
  </x:si>
  <x:si>
    <x:t xml:space="preserve">FGC-FUN-012,FGC-FUN-036~038</x:t>
  </x:si>
  <x:si>
    <x:t xml:space="preserve">v2.2: 1차 현행 스케줄부터 버전·상태 관리, 2차 상태이벤트 확장</x:t>
  </x:si>
  <x:si>
    <x:t xml:space="preserve">FGC-FUN-040</x:t>
  </x:si>
  <x:si>
    <x:t xml:space="preserve">스케줄 생성 멱등성</x:t>
  </x:si>
  <x:si>
    <x:t xml:space="preserve">FGC-FUN-036~039</x:t>
  </x:si>
  <x:si>
    <x:t xml:space="preserve">v2.2: 현행 예상 스케줄이 1차에 포함되므로 멱등성도 1차로 이동</x:t>
  </x:si>
  <x:si>
    <x:t xml:space="preserve">FGC-FUN-041</x:t>
  </x:si>
  <x:si>
    <x:t xml:space="preserve">월 규제·정산 검증 실행 생성</x:t>
  </x:si>
  <x:si>
    <x:t xml:space="preserve">FGC-FUN-030~033,FGC-FUN-036,FGC-FUN-048,FGC-FUN-063,FGC-FUN-065</x:t>
  </x:si>
  <x:si>
    <x:t xml:space="preserve">EPIC-VALIDATION</x:t>
  </x:si>
  <x:si>
    <x:t xml:space="preserve">SRC-004,SRC-005,SRC-014,REG-23</x:t>
  </x:si>
  <x:si>
    <x:t xml:space="preserve">v2.2.1: REG-23 원천표 버전 스냅샷 추가</x:t>
  </x:si>
  <x:si>
    <x:t xml:space="preserve">FGC-FUN-042</x:t>
  </x:si>
  <x:si>
    <x:t xml:space="preserve">검증 대상 계약·스케줄·명세 선별</x:t>
  </x:si>
  <x:si>
    <x:t xml:space="preserve">FGC-FUN-012,FGC-FUN-036,FGC-FUN-041,FGC-FUN-048,FGC-FUN-063,FGC-FUN-065</x:t>
  </x:si>
  <x:si>
    <x:t xml:space="preserve">SRC-005,SRC-014,REG-23</x:t>
  </x:si>
  <x:si>
    <x:t xml:space="preserve">v2.2.1: 예상 해약환급률표 선별·코드 정합성 추가</x:t>
  </x:si>
  <x:si>
    <x:t xml:space="preserve">FGC-FUN-043</x:t>
  </x:si>
  <x:si>
    <x:t xml:space="preserve">규제·대사 결과 집계</x:t>
  </x:si>
  <x:si>
    <x:t xml:space="preserve">FGC-FUN-030~033,FGC-FUN-036,FGC-FUN-042,FGC-FUN-046~052,FGC-FUN-063</x:t>
  </x:si>
  <x:si>
    <x:t xml:space="preserve">v2.2: 결과집계 범위를 스케줄·원장대사·차익거래까지 확대</x:t>
  </x:si>
  <x:si>
    <x:t xml:space="preserve">FGC-FUN-044</x:t>
  </x:si>
  <x:si>
    <x:t xml:space="preserve">검증 결과 확정·잠금</x:t>
  </x:si>
  <x:si>
    <x:t xml:space="preserve">FGC-FUN-041~043,FGC-FUN-046~052,FGC-FUN-063</x:t>
  </x:si>
  <x:si>
    <x:t xml:space="preserve">v2.2: 통합 규제·대사 결과의 재현 가능한 잠금으로 확대</x:t>
  </x:si>
  <x:si>
    <x:t xml:space="preserve">FGC-FUN-045</x:t>
  </x:si>
  <x:si>
    <x:t xml:space="preserve">배치 실패 후 재시작</x:t>
  </x:si>
  <x:si>
    <x:t xml:space="preserve">Backend/Batch</x:t>
  </x:si>
  <x:si>
    <x:t xml:space="preserve">FGC-FUN-041,FGC-FUN-042,FGC-FUN-040</x:t>
  </x:si>
  <x:si>
    <x:t xml:space="preserve">EPIC-SETTLEMENT</x:t>
  </x:si>
  <x:si>
    <x:t xml:space="preserve">FGC-FUN-046</x:t>
  </x:si>
  <x:si>
    <x:t xml:space="preserve">복식부기 검증원장 기록</x:t>
  </x:si>
  <x:si>
    <x:t xml:space="preserve">FGC-FUN-036,FGC-FUN-039,FGC-FUN-043,FGC-FUN-044,FGC-FUN-065</x:t>
  </x:si>
  <x:si>
    <x:t xml:space="preserve">EPIC-LEDGER</x:t>
  </x:si>
  <x:si>
    <x:t xml:space="preserve">SRC-004,SRC-005,팀 내부통제 설계</x:t>
  </x:si>
  <x:si>
    <x:t xml:space="preserve">v2.2: 1차 핵심으로 이동, 단순 원장에서 복식부기 검증용 보조원장으로 구체화</x:t>
  </x:si>
  <x:si>
    <x:t xml:space="preserve">FGC-FUN-047</x:t>
  </x:si>
  <x:si>
    <x:t xml:space="preserve">원장 정정·역분개 처리</x:t>
  </x:si>
  <x:si>
    <x:t xml:space="preserve">FGC-FUN-046,FGC-FUN-052,FGC-FUN-053</x:t>
  </x:si>
  <x:si>
    <x:t xml:space="preserve">팀 내부통제 설계</x:t>
  </x:si>
  <x:si>
    <x:t xml:space="preserve">v2.2: 복식부기 원장 정합성을 위해 기본 역분개를 1차에 포함</x:t>
  </x:si>
  <x:si>
    <x:t xml:space="preserve">FGC-FUN-048</x:t>
  </x:si>
  <x:si>
    <x:t xml:space="preserve">예상 스케줄·실제 명세 원장 대사</x:t>
  </x:si>
  <x:si>
    <x:t xml:space="preserve">FGC-FUN-036,FGC-FUN-039,FGC-FUN-046,FGC-FUN-065</x:t>
  </x:si>
  <x:si>
    <x:t xml:space="preserve">EPIC-RECON</x:t>
  </x:si>
  <x:si>
    <x:t xml:space="preserve">SRC-004,SRC-005,SRC-010,SRC-027</x:t>
  </x:si>
  <x:si>
    <x:t xml:space="preserve">v2.2: 현행 예상 스케줄 검증에 필수이므로 1차로 이동</x:t>
  </x:si>
  <x:si>
    <x:t xml:space="preserve">FGC-FUN-049</x:t>
  </x:si>
  <x:si>
    <x:t xml:space="preserve">대사 불일치 유형 분류</x:t>
  </x:si>
  <x:si>
    <x:t xml:space="preserve">FGC-FUN-046,FGC-FUN-048</x:t>
  </x:si>
  <x:si>
    <x:t xml:space="preserve">v2.2: 대사 핵심기능으로 1차 이동, 원장 불균형 유형 추가</x:t>
  </x:si>
  <x:si>
    <x:t xml:space="preserve">FGC-FUN-050</x:t>
  </x:si>
  <x:si>
    <x:t xml:space="preserve">대사 허용오차 관리</x:t>
  </x:si>
  <x:si>
    <x:t xml:space="preserve">FGC-FUN-012,FGC-FUN-048</x:t>
  </x:si>
  <x:si>
    <x:t xml:space="preserve">v2.2: 1차 0원 정확일치로 포함, 2차 정책화</x:t>
  </x:si>
  <x:si>
    <x:t xml:space="preserve">FGC-FUN-051</x:t>
  </x:si>
  <x:si>
    <x:t xml:space="preserve">대사 실행 이력 조회</x:t>
  </x:si>
  <x:si>
    <x:t xml:space="preserve">FGC-FUN-041,FGC-FUN-046,FGC-FUN-048</x:t>
  </x:si>
  <x:si>
    <x:t xml:space="preserve">v2.2: 대사 실행 추적을 1차로 이동</x:t>
  </x:si>
  <x:si>
    <x:t xml:space="preserve">FGC-FUN-052</x:t>
  </x:si>
  <x:si>
    <x:t xml:space="preserve">불일치 예외 자동 생성</x:t>
  </x:si>
  <x:si>
    <x:t xml:space="preserve">FGC-FUN-034,FGC-FUN-046,FGC-FUN-047,FGC-FUN-049,FGC-FUN-063</x:t>
  </x:si>
  <x:si>
    <x:t xml:space="preserve">EPIC-EXCEPTION</x:t>
  </x:si>
  <x:si>
    <x:t xml:space="preserve">v2.2: 1200%·대사·원장·차익거래 공통 예외로 1차 확대</x:t>
  </x:si>
  <x:si>
    <x:t xml:space="preserve">FGC-FUN-053</x:t>
  </x:si>
  <x:si>
    <x:t xml:space="preserve">예외 처리 워크플로</x:t>
  </x:si>
  <x:si>
    <x:t xml:space="preserve">FGC-FUN-034,FGC-FUN-047,FGC-FUN-052,FGC-FUN-061</x:t>
  </x:si>
  <x:si>
    <x:t xml:space="preserve">SRC-005,SRC-006</x:t>
  </x:si>
  <x:si>
    <x:t xml:space="preserve">v2.2: 1차의 1200%·대사·차익거래 예외 처리를 위해 1차로 이동</x:t>
  </x:si>
  <x:si>
    <x:t xml:space="preserve">FGC-FUN-054</x:t>
  </x:si>
  <x:si>
    <x:t xml:space="preserve">환수 검토 대상 생성</x:t>
  </x:si>
  <x:si>
    <x:t xml:space="preserve">FGC-FUN-028,FGC-FUN-046</x:t>
  </x:si>
  <x:si>
    <x:t xml:space="preserve">EPIC-CLAWBACK</x:t>
  </x:si>
  <x:si>
    <x:t xml:space="preserve">SRC-001,SRC-004,SRC-005,REG-13,REG-12,SRC-025</x:t>
  </x:si>
  <x:si>
    <x:t xml:space="preserve">v3.0 (2026-10-26, 현준): 포함 확정, S→M 승격. 환수 검토 후보 생성까지이며 통지·이의·확정·상계 관리는 제외한다. 이전 개정은 Z1_개정이력 참조.</x:t>
  </x:si>
  <x:si>
    <x:t xml:space="preserve">FGC-FUN-055</x:t>
  </x:si>
  <x:si>
    <x:t xml:space="preserve">정책별 환수액 계산</x:t>
  </x:si>
  <x:si>
    <x:t xml:space="preserve">FGC-FUN-012,FGC-FUN-054</x:t>
  </x:si>
  <x:si>
    <x:t xml:space="preserve">SRC-004,SRC-005,REG-14</x:t>
  </x:si>
  <x:si>
    <x:t xml:space="preserve">v3.0 (2026-10-26, 현준): 포함 확정, S→M 승격. 환수 계산·근거 조회까지이며 확정·상계 관리는 제외한다. 이전 개정은 Z1_개정이력 참조.</x:t>
  </x:si>
  <x:si>
    <x:t xml:space="preserve">FGC-FUN-056</x:t>
  </x:si>
  <x:si>
    <x:t xml:space="preserve">환수 통지·이의·확정·상계 관리</x:t>
  </x:si>
  <x:si>
    <x:t xml:space="preserve">FGC-FUN-053,FGC-FUN-055</x:t>
  </x:si>
  <x:si>
    <x:t xml:space="preserve">FGC-FUN-057</x:t>
  </x:si>
  <x:si>
    <x:t xml:space="preserve">업무 대시보드</x:t>
  </x:si>
  <x:si>
    <x:t xml:space="preserve">Frontend/Backend</x:t>
  </x:si>
  <x:si>
    <x:t xml:space="preserve">FGC-FUN-032,FGC-FUN-036,FGC-FUN-044,FGC-FUN-048,FGC-FUN-052,FGC-FUN-063</x:t>
  </x:si>
  <x:si>
    <x:t xml:space="preserve">EPIC-REPORT</x:t>
  </x:si>
  <x:si>
    <x:t xml:space="preserve">v2.2: 1차 스케줄·대사·차익거래 요약 반영</x:t>
  </x:si>
  <x:si>
    <x:t xml:space="preserve">FGC-FUN-058</x:t>
  </x:si>
  <x:si>
    <x:t xml:space="preserve">통합 검색 및 상세 조회</x:t>
  </x:si>
  <x:si>
    <x:t xml:space="preserve">FGC-FUN-018,FGC-FUN-041,FGC-FUN-034</x:t>
  </x:si>
  <x:si>
    <x:t xml:space="preserve">v3.0 (2026-10-26, 현준): 기존 팀 합의대로 통합 검색은 2차 미진행. 요구사항 ID·원안·S 우선순위는 보존하며 이번 구현·인수 대상에서 제외한다. 기존 메뉴 검색·필터·상세 조회는 유지한다.</x:t>
  </x:si>
  <x:si>
    <x:t xml:space="preserve">FGC-FUN-059</x:t>
  </x:si>
  <x:si>
    <x:t xml:space="preserve">FGC-FUN-060</x:t>
  </x:si>
  <x:si>
    <x:t xml:space="preserve">설계사 수수료 명세 조회</x:t>
  </x:si>
  <x:si>
    <x:t xml:space="preserve">SRC-001,SRC-005,SRC-022</x:t>
  </x:si>
  <x:si>
    <x:t xml:space="preserve">FGC-FUN-061</x:t>
  </x:si>
  <x:si>
    <x:t xml:space="preserve">핵심 업무 감사로그</x:t>
  </x:si>
  <x:si>
    <x:t xml:space="preserve">Backend/Security</x:t>
  </x:si>
  <x:si>
    <x:t xml:space="preserve">FGC-FUN-002,FGC-FUN-012,FGC-FUN-033,FGC-FUN-044,FGC-FUN-065</x:t>
  </x:si>
  <x:si>
    <x:t xml:space="preserve">EPIC-AUDIT</x:t>
  </x:si>
  <x:si>
    <x:t xml:space="preserve">SRC-005,SRC-006,SRC-014,REG-22</x:t>
  </x:si>
  <x:si>
    <x:t xml:space="preserve">v2.2.1: REG-22 지급기준·귀속 변경 감사대상 추가</x:t>
  </x:si>
  <x:si>
    <x:t xml:space="preserve">FGC-FUN-062</x:t>
  </x:si>
  <x:si>
    <x:t xml:space="preserve">계약체결비용 한도 검증</x:t>
  </x:si>
  <x:si>
    <x:t xml:space="preserve">FGC-FUN-012,FGC-FUN-013,FGC-FUN-014,FGC-FUN-037,FGC-FUN-038,FGC-FUN-052</x:t>
  </x:si>
  <x:si>
    <x:t xml:space="preserve">EPIC-REGULATION</x:t>
  </x:si>
  <x:si>
    <x:t xml:space="preserve">SRC-001,SRC-003,SRC-014,REG-02,REG-06A~06C,REG-11,REG-19</x:t>
  </x:si>
  <x:si>
    <x:t xml:space="preserve">v3.0 (2026-10-26, 현준): 포함 확정(M), 구현 후순위. 037·038 생성·조회와 별도의 계약체결비용 한도 검증이다. 이전 개정은 Z1_개정이력 참조.</x:t>
  </x:si>
  <x:si>
    <x:t xml:space="preserve">FGC-PER-001</x:t>
  </x:si>
  <x:si>
    <x:t xml:space="preserve">일반 화면 응답시간</x:t>
  </x:si>
  <x:si>
    <x:t xml:space="preserve">비기능</x:t>
  </x:si>
  <x:si>
    <x:t xml:space="preserve">EPIC-NFR</x:t>
  </x:si>
  <x:si>
    <x:t xml:space="preserve">FGC-PER-003</x:t>
  </x:si>
  <x:si>
    <x:t xml:space="preserve">대량 정산 배치 처리량</x:t>
  </x:si>
  <x:si>
    <x:t xml:space="preserve">Backend/Batch/DevOps</x:t>
  </x:si>
  <x:si>
    <x:t xml:space="preserve">FGC-PER-004</x:t>
  </x:si>
  <x:si>
    <x:t xml:space="preserve">대시보드 조회 성능</x:t>
  </x:si>
  <x:si>
    <x:t xml:space="preserve">Backend/Frontend/QA</x:t>
  </x:si>
  <x:si>
    <x:t xml:space="preserve">FGC-PER-005</x:t>
  </x:si>
  <x:si>
    <x:t xml:space="preserve">동시사용자 처리</x:t>
  </x:si>
  <x:si>
    <x:t xml:space="preserve">FGC-PER-006</x:t>
  </x:si>
  <x:si>
    <x:t xml:space="preserve">장애 탐지 알림시간</x:t>
  </x:si>
  <x:si>
    <x:t xml:space="preserve">EPIC-OBSERVABILITY</x:t>
  </x:si>
  <x:si>
    <x:t xml:space="preserve">FGC-PER-007</x:t>
  </x:si>
  <x:si>
    <x:t xml:space="preserve">재실행 중복 방지 성능</x:t>
  </x:si>
  <x:si>
    <x:t xml:space="preserve">Backend/Data/QA</x:t>
  </x:si>
  <x:si>
    <x:t xml:space="preserve">재정의 — 파일해시 항목 삭제(수집 제외), 지급 건·정산·스케줄 멱등키로 한정</x:t>
  </x:si>
  <x:si>
    <x:t xml:space="preserve">FGC-SIR-001</x:t>
  </x:si>
  <x:si>
    <x:t xml:space="preserve">REST API 표준</x:t>
  </x:si>
  <x:si>
    <x:t xml:space="preserve">EPIC-API</x:t>
  </x:si>
  <x:si>
    <x:t xml:space="preserve">FGC-SIR-002</x:t>
  </x:si>
  <x:si>
    <x:t xml:space="preserve">OpenAPI·Swagger 문서화</x:t>
  </x:si>
  <x:si>
    <x:t xml:space="preserve">FGC-SIR-005</x:t>
  </x:si>
  <x:si>
    <x:t xml:space="preserve">화면 UI 일관성</x:t>
  </x:si>
  <x:si>
    <x:t xml:space="preserve">EPIC-UX</x:t>
  </x:si>
  <x:si>
    <x:t xml:space="preserve">FGC-SIR-006</x:t>
  </x:si>
  <x:si>
    <x:t xml:space="preserve">SPA·MPA 하이브리드 구성</x:t>
  </x:si>
  <x:si>
    <x:t xml:space="preserve">FGC-FUN-011,FGC-FUN-036~053,FGC-ECR-001,FGC-ECR-002</x:t>
  </x:si>
  <x:si>
    <x:t xml:space="preserve">사용자 확정 기술범위</x:t>
  </x:si>
  <x:si>
    <x:t xml:space="preserve">v2.2: 1차 핵심 화면범위와 2차 마이그레이션 경계 명시</x:t>
  </x:si>
  <x:si>
    <x:t xml:space="preserve">FGC-SIR-007</x:t>
  </x:si>
  <x:si>
    <x:t xml:space="preserve">오류메시지 및 오류코드 표준</x:t>
  </x:si>
  <x:si>
    <x:t xml:space="preserve">FGC-SIR-008</x:t>
  </x:si>
  <x:si>
    <x:t xml:space="preserve">표시 형식 표준</x:t>
  </x:si>
  <x:si>
    <x:t xml:space="preserve">FGC-DAR-001</x:t>
  </x:si>
  <x:si>
    <x:t xml:space="preserve">논리·물리 데이터모델 수립</x:t>
  </x:si>
  <x:si>
    <x:t xml:space="preserve">EPIC-DATA</x:t>
  </x:si>
  <x:si>
    <x:t xml:space="preserve">SRC-004,SRC-005,SRC-006,SRC-014,REG-19,REG-23,REG-24</x:t>
  </x:si>
  <x:si>
    <x:t xml:space="preserve">v2.2.1: REG-19·23·24 데이터모델 반영</x:t>
  </x:si>
  <x:si>
    <x:t xml:space="preserve">FGC-DAR-002</x:t>
  </x:si>
  <x:si>
    <x:t xml:space="preserve">금액·요율 정밀도</x:t>
  </x:si>
  <x:si>
    <x:t xml:space="preserve">FGC-DAR-003</x:t>
  </x:si>
  <x:si>
    <x:t xml:space="preserve">유효기간 기반 이력관리</x:t>
  </x:si>
  <x:si>
    <x:t xml:space="preserve">SRC-005,SRC-014,REG-19,REG-21,REG-22</x:t>
  </x:si>
  <x:si>
    <x:t xml:space="preserve">v2.2.1: 적용례·신인경력·지급기준 버전 이력 추가</x:t>
  </x:si>
  <x:si>
    <x:t xml:space="preserve">FGC-DAR-004</x:t>
  </x:si>
  <x:si>
    <x:t xml:space="preserve">식별자·유니크 제약</x:t>
  </x:si>
  <x:si>
    <x:t xml:space="preserve">FGC-FUN-036,FGC-FUN-040,FGC-FUN-046,FGC-FUN-048,FGC-FUN-052,FGC-FUN-063</x:t>
  </x:si>
  <x:si>
    <x:t xml:space="preserve">v2.2: 1차 스케줄·원장·대사·차익거래 업무키 포함</x:t>
  </x:si>
  <x:si>
    <x:t xml:space="preserve">FGC-DAR-005</x:t>
  </x:si>
  <x:si>
    <x:t xml:space="preserve">참조무결성 및 상태 정합성</x:t>
  </x:si>
  <x:si>
    <x:t xml:space="preserve">FGC-DAR-007</x:t>
  </x:si>
  <x:si>
    <x:t xml:space="preserve">데이터 표준·용어사전</x:t>
  </x:si>
  <x:si>
    <x:t xml:space="preserve">PM/Backend/Data</x:t>
  </x:si>
  <x:si>
    <x:t xml:space="preserve">SRC-004,SRC-008</x:t>
  </x:si>
  <x:si>
    <x:t xml:space="preserve">FGC-DAR-008</x:t>
  </x:si>
  <x:si>
    <x:t xml:space="preserve">개인정보 최소수집·마스킹</x:t>
  </x:si>
  <x:si>
    <x:t xml:space="preserve">Security/Data</x:t>
  </x:si>
  <x:si>
    <x:t xml:space="preserve">SRC-005,SRC-027</x:t>
  </x:si>
  <x:si>
    <x:t xml:space="preserve">FGC-DAR-009</x:t>
  </x:si>
  <x:si>
    <x:t xml:space="preserve">백업·복구 및 보존</x:t>
  </x:si>
  <x:si>
    <x:t xml:space="preserve">DevOps/Data</x:t>
  </x:si>
  <x:si>
    <x:t xml:space="preserve">FGC-DAR-010</x:t>
  </x:si>
  <x:si>
    <x:t xml:space="preserve">데이터 품질 점검</x:t>
  </x:si>
  <x:si>
    <x:t xml:space="preserve">FGC-FUN-011,FGC-FUN-036,FGC-FUN-041~053,FGC-FUN-063</x:t>
  </x:si>
  <x:si>
    <x:t xml:space="preserve">v2.2: 핵심 데이터 정합성을 위해 1차로 이동</x:t>
  </x:si>
  <x:si>
    <x:t xml:space="preserve">FGC-ECR-001</x:t>
  </x:si>
  <x:si>
    <x:t xml:space="preserve">1차 기술환경</x:t>
  </x:si>
  <x:si>
    <x:t xml:space="preserve">Tech Lead/DevOps</x:t>
  </x:si>
  <x:si>
    <x:t xml:space="preserve">FGC-SIR-006,FGC-FUN-041~044,FGC-DAR-011</x:t>
  </x:si>
  <x:si>
    <x:t xml:space="preserve">EPIC-PLATFORM</x:t>
  </x:si>
  <x:si>
    <x:t xml:space="preserve">v2.2.2: Spring Batch를 1차 기술범위에 추가(사용자 지침). 정정 — Java 17→21(확정 기술범위)</x:t>
  </x:si>
  <x:si>
    <x:t xml:space="preserve">FGC-ECR-002</x:t>
  </x:si>
  <x:si>
    <x:t xml:space="preserve">2차 기술환경</x:t>
  </x:si>
  <x:si>
    <x:t xml:space="preserve">FGC-FUN-011,FGC-FUN-036~053,FGC-FUN-062~064</x:t>
  </x:si>
  <x:si>
    <x:t xml:space="preserve">사용자 확정 기술범위,GitHub #366·#383</x:t>
  </x:si>
  <x:si>
    <x:t xml:space="preserve">v2.2.2: 1차가 이미 Spring Batch를 쓰므로 '수동실행→Spring Batch 마이그레이션' 문구 삭제. Job 2개 → 5개 확장으로 재정의. v2.2: 1차 핵심엔진을 폐기하지 않는 마이그레이션 원칙 명시</x:t>
  </x:si>
  <x:si>
    <x:t xml:space="preserve">FGC-ECR-003</x:t>
  </x:si>
  <x:si>
    <x:t xml:space="preserve">데이터베이스 환경</x:t>
  </x:si>
  <x:si>
    <x:t xml:space="preserve">v2.2.2: Spring Batch 메타테이블 위치 명시. 보강 — 1·2차 모두 PostgreSQL 명시</x:t>
  </x:si>
  <x:si>
    <x:t xml:space="preserve">FGC-ECR-004</x:t>
  </x:si>
  <x:si>
    <x:t xml:space="preserve">형상·빌드 환경</x:t>
  </x:si>
  <x:si>
    <x:t xml:space="preserve">DevOps/All</x:t>
  </x:si>
  <x:si>
    <x:t xml:space="preserve">사용자 선정 도구</x:t>
  </x:si>
  <x:si>
    <x:t xml:space="preserve">FGC-ECR-005</x:t>
  </x:si>
  <x:si>
    <x:t xml:space="preserve">컨테이너 및 배포환경</x:t>
  </x:si>
  <x:si>
    <x:t xml:space="preserve">SRC-005,ADR-05</x:t>
  </x:si>
  <x:si>
    <x:t xml:space="preserve">FGC-ECR-006</x:t>
  </x:si>
  <x:si>
    <x:t xml:space="preserve">파일 저장소</x:t>
  </x:si>
  <x:si>
    <x:t xml:space="preserve">DevOps/Backend</x:t>
  </x:si>
  <x:si>
    <x:t xml:space="preserve">FGC-COR-010</x:t>
  </x:si>
  <x:si>
    <x:t xml:space="preserve">재정의 — 업로드 원본 저장 용도 삭제(수집 제외), 증빙·보고서 용도로 한정</x:t>
  </x:si>
  <x:si>
    <x:t xml:space="preserve">FGC-ECR-007</x:t>
  </x:si>
  <x:si>
    <x:t xml:space="preserve">관측성 환경</x:t>
  </x:si>
  <x:si>
    <x:t xml:space="preserve">v2.2.2: 배치 관측 항목 보강</x:t>
  </x:si>
  <x:si>
    <x:t xml:space="preserve">FGC-TER-001</x:t>
  </x:si>
  <x:si>
    <x:t xml:space="preserve">요구사항 기반 테스트계획</x:t>
  </x:si>
  <x:si>
    <x:t xml:space="preserve">QA/PM</x:t>
  </x:si>
  <x:si>
    <x:t xml:space="preserve">EPIC-TEST</x:t>
  </x:si>
  <x:si>
    <x:t xml:space="preserve">FGC-TER-002</x:t>
  </x:si>
  <x:si>
    <x:t xml:space="preserve">핵심 계산 단위테스트</x:t>
  </x:si>
  <x:si>
    <x:t xml:space="preserve">FGC-FUN-030~053,FGC-FUN-062~064</x:t>
  </x:si>
  <x:si>
    <x:t xml:space="preserve">v2.2: 1차 스케줄·원장·대사·차익거래 계산 포함</x:t>
  </x:si>
  <x:si>
    <x:t xml:space="preserve">FGC-TER-003</x:t>
  </x:si>
  <x:si>
    <x:t xml:space="preserve">Golden Test 회귀검증</x:t>
  </x:si>
  <x:si>
    <x:t xml:space="preserve">PM/Backend/QA</x:t>
  </x:si>
  <x:si>
    <x:t xml:space="preserve">FGC-FUN-036~053,FGC-FUN-062~064</x:t>
  </x:si>
  <x:si>
    <x:t xml:space="preserve">SRC-001,SRC-002,SRC-003</x:t>
  </x:si>
  <x:si>
    <x:t xml:space="preserve">v2.2: 최종 릴리스 시나리오 기준 Golden Test 확장</x:t>
  </x:si>
  <x:si>
    <x:t xml:space="preserve">FGC-TER-004</x:t>
  </x:si>
  <x:si>
    <x:t xml:space="preserve">데이터베이스 통합테스트</x:t>
  </x:si>
  <x:si>
    <x:t xml:space="preserve">FGC-FUN-036~053,FGC-FUN-063,FGC-DAR-004</x:t>
  </x:si>
  <x:si>
    <x:t xml:space="preserve">v2.2: 1차 복식원장·대사 정합성 때문에 1차로 이동</x:t>
  </x:si>
  <x:si>
    <x:t xml:space="preserve">FGC-TER-005</x:t>
  </x:si>
  <x:si>
    <x:t xml:space="preserve">API 계약 및 회귀 테스트</x:t>
  </x:si>
  <x:si>
    <x:t xml:space="preserve">FGC-TER-006</x:t>
  </x:si>
  <x:si>
    <x:t xml:space="preserve">E2E 사용자 시나리오 테스트</x:t>
  </x:si>
  <x:si>
    <x:t xml:space="preserve">Frontend/QA</x:t>
  </x:si>
  <x:si>
    <x:t xml:space="preserve">FGC-FUN-001~002,FGC-FUN-011,FGC-FUN-018,FGC-FUN-030~053,FGC-FUN-063,FGC-FUN-065</x:t>
  </x:si>
  <x:si>
    <x:t xml:space="preserve">v2.2: 1차 통합 데모 범위 E2E로 이동</x:t>
  </x:si>
  <x:si>
    <x:t xml:space="preserve">FGC-TER-007</x:t>
  </x:si>
  <x:si>
    <x:t xml:space="preserve">배치 재시작·멱등성 시험</x:t>
  </x:si>
  <x:si>
    <x:t xml:space="preserve">Backend/Batch/QA</x:t>
  </x:si>
  <x:si>
    <x:t xml:space="preserve">v2.1: 동일 파일 표현 삭제</x:t>
  </x:si>
  <x:si>
    <x:t xml:space="preserve">FGC-TER-008</x:t>
  </x:si>
  <x:si>
    <x:t xml:space="preserve">성능·부하시험</x:t>
  </x:si>
  <x:si>
    <x:t xml:space="preserve">v2.1: 파일수집 성능 삭제</x:t>
  </x:si>
  <x:si>
    <x:t xml:space="preserve">FGC-TER-009</x:t>
  </x:si>
  <x:si>
    <x:t xml:space="preserve">보안 테스트</x:t>
  </x:si>
  <x:si>
    <x:t xml:space="preserve">Security/QA</x:t>
  </x:si>
  <x:si>
    <x:t xml:space="preserve">v2.1: 파일업로드는 2차 조건부</x:t>
  </x:si>
  <x:si>
    <x:t xml:space="preserve">FGC-TER-010</x:t>
  </x:si>
  <x:si>
    <x:t xml:space="preserve">인수·발표 리허설</x:t>
  </x:si>
  <x:si>
    <x:t xml:space="preserve">FGC-FUN-011,FGC-FUN-030~053,FGC-FUN-062~065</x:t>
  </x:si>
  <x:si>
    <x:t xml:space="preserve">v2.2: 최종 1차·2차 데모 시나리오로 교체</x:t>
  </x:si>
  <x:si>
    <x:t xml:space="preserve">FGC-SER-001</x:t>
  </x:si>
  <x:si>
    <x:t xml:space="preserve">인증정보 안전한 저장</x:t>
  </x:si>
  <x:si>
    <x:t xml:space="preserve">EPIC-SECURITY</x:t>
  </x:si>
  <x:si>
    <x:t xml:space="preserve">FGC-SER-002</x:t>
  </x:si>
  <x:si>
    <x:t xml:space="preserve">최소권한 원칙</x:t>
  </x:si>
  <x:si>
    <x:t xml:space="preserve">Security/DevOps</x:t>
  </x:si>
  <x:si>
    <x:t xml:space="preserve">FGC-SER-003</x:t>
  </x:si>
  <x:si>
    <x:t xml:space="preserve">세션·쿠키·CSRF 보호</x:t>
  </x:si>
  <x:si>
    <x:t xml:space="preserve">SRC-006,SRC-028</x:t>
  </x:si>
  <x:si>
    <x:t xml:space="preserve">FGC-SER-004</x:t>
  </x:si>
  <x:si>
    <x:t xml:space="preserve">입력값 검증 및 인젝션 방지</x:t>
  </x:si>
  <x:si>
    <x:t xml:space="preserve">Backend/Frontend/Security</x:t>
  </x:si>
  <x:si>
    <x:t xml:space="preserve">v2.1: 1차 파일입력 표현 삭제</x:t>
  </x:si>
  <x:si>
    <x:t xml:space="preserve">FGC-SER-005</x:t>
  </x:si>
  <x:si>
    <x:t xml:space="preserve">파일 업로드 보안</x:t>
  </x:si>
  <x:si>
    <x:t xml:space="preserve">공통→2차 이동 — 1차에는 파일 업로드 기능이 없음(수집 삭제). 2차 증빙 첨부 대비로 유지</x:t>
  </x:si>
  <x:si>
    <x:t xml:space="preserve">FGC-SER-006</x:t>
  </x:si>
  <x:si>
    <x:t xml:space="preserve">민감정보 로그 노출 방지</x:t>
  </x:si>
  <x:si>
    <x:t xml:space="preserve">Backend/DevOps/Security</x:t>
  </x:si>
  <x:si>
    <x:t xml:space="preserve">FGC-SER-007</x:t>
  </x:si>
  <x:si>
    <x:t xml:space="preserve">전송구간 암호화</x:t>
  </x:si>
  <x:si>
    <x:t xml:space="preserve">DevOps/Security</x:t>
  </x:si>
  <x:si>
    <x:t xml:space="preserve">FGC-SER-008</x:t>
  </x:si>
  <x:si>
    <x:t xml:space="preserve">비밀정보 관리</x:t>
  </x:si>
  <x:si>
    <x:t xml:space="preserve">FGC-SER-009</x:t>
  </x:si>
  <x:si>
    <x:t xml:space="preserve">보안 감사이벤트 기록</x:t>
  </x:si>
  <x:si>
    <x:t xml:space="preserve">FGC-SER-010</x:t>
  </x:si>
  <x:si>
    <x:t xml:space="preserve">오픈소스 의존성 취약점 관리</x:t>
  </x:si>
  <x:si>
    <x:t xml:space="preserve">FGC-SER-011</x:t>
  </x:si>
  <x:si>
    <x:t xml:space="preserve">데이터 접근 테넌트 격리</x:t>
  </x:si>
  <x:si>
    <x:t xml:space="preserve">2026-10-19 OI-010 단일 GA 결정으로 현 베이스라인 제외(우선순위 M→W). 요구사항 원문은 조건부 요구로 보존</x:t>
  </x:si>
  <x:si>
    <x:t xml:space="preserve">FGC-SER-012</x:t>
  </x:si>
  <x:si>
    <x:t xml:space="preserve">개인정보 파기·비식별</x:t>
  </x:si>
  <x:si>
    <x:t xml:space="preserve">Security/Data/DevOps</x:t>
  </x:si>
  <x:si>
    <x:t xml:space="preserve">FGC-QUR-001</x:t>
  </x:si>
  <x:si>
    <x:t xml:space="preserve">요구사항 추적성</x:t>
  </x:si>
  <x:si>
    <x:t xml:space="preserve">PM/QA</x:t>
  </x:si>
  <x:si>
    <x:t xml:space="preserve">EPIC-QUALITY</x:t>
  </x:si>
  <x:si>
    <x:t xml:space="preserve">FGC-QUR-002</x:t>
  </x:si>
  <x:si>
    <x:t xml:space="preserve">모듈러 모놀리스 경계</x:t>
  </x:si>
  <x:si>
    <x:t xml:space="preserve">Tech Lead/Backend</x:t>
  </x:si>
  <x:si>
    <x:t xml:space="preserve">보강 — 1차 모듈에 compensation(지급 건) 추가</x:t>
  </x:si>
  <x:si>
    <x:t xml:space="preserve">FGC-QUR-003</x:t>
  </x:si>
  <x:si>
    <x:t xml:space="preserve">코딩·네이밍 표준</x:t>
  </x:si>
  <x:si>
    <x:t xml:space="preserve">Tech Lead/All</x:t>
  </x:si>
  <x:si>
    <x:t xml:space="preserve">FGC-QUR-004</x:t>
  </x:si>
  <x:si>
    <x:t xml:space="preserve">PR 기반 코드리뷰</x:t>
  </x:si>
  <x:si>
    <x:t xml:space="preserve">All</x:t>
  </x:si>
  <x:si>
    <x:t xml:space="preserve">FGC-QUR-005</x:t>
  </x:si>
  <x:si>
    <x:t xml:space="preserve">구조화 로깅·추적ID</x:t>
  </x:si>
  <x:si>
    <x:t xml:space="preserve">Backend/DevOps</x:t>
  </x:si>
  <x:si>
    <x:t xml:space="preserve">FGC-QUR-006</x:t>
  </x:si>
  <x:si>
    <x:t xml:space="preserve">오류 복구 가능성</x:t>
  </x:si>
  <x:si>
    <x:t xml:space="preserve">Backend/DevOps/QA</x:t>
  </x:si>
  <x:si>
    <x:t xml:space="preserve">v2.1: 실패 파일 표현 삭제</x:t>
  </x:si>
  <x:si>
    <x:t xml:space="preserve">FGC-QUR-007</x:t>
  </x:si>
  <x:si>
    <x:t xml:space="preserve">사용성·접근성</x:t>
  </x:si>
  <x:si>
    <x:t xml:space="preserve">FGC-QUR-008</x:t>
  </x:si>
  <x:si>
    <x:t xml:space="preserve">문서와 구현 동기화</x:t>
  </x:si>
  <x:si>
    <x:t xml:space="preserve">PM/Tech Lead</x:t>
  </x:si>
  <x:si>
    <x:t xml:space="preserve">FGC-COR-001</x:t>
  </x:si>
  <x:si>
    <x:t xml:space="preserve">실제 자금이체 제외</x:t>
  </x:si>
  <x:si>
    <x:t xml:space="preserve">-</x:t>
  </x:si>
  <x:si>
    <x:t xml:space="preserve">EPIC-CONSTRAINT</x:t>
  </x:si>
  <x:si>
    <x:t xml:space="preserve">FGC-COR-002</x:t>
  </x:si>
  <x:si>
    <x:t xml:space="preserve">GA 전체 ERP 대체 제외</x:t>
  </x:si>
  <x:si>
    <x:t xml:space="preserve">FGC-COR-003</x:t>
  </x:si>
  <x:si>
    <x:t xml:space="preserve">보험 핵심업무 제외</x:t>
  </x:si>
  <x:si>
    <x:t xml:space="preserve">FGC-COR-004</x:t>
  </x:si>
  <x:si>
    <x:t xml:space="preserve">규칙 하드코딩 금지</x:t>
  </x:si>
  <x:si>
    <x:t xml:space="preserve">FGC-COR-005</x:t>
  </x:si>
  <x:si>
    <x:t xml:space="preserve">실데이터 사용 제한</x:t>
  </x:si>
  <x:si>
    <x:t xml:space="preserve">PM/Security</x:t>
  </x:si>
  <x:si>
    <x:t xml:space="preserve">FGC-COR-006</x:t>
  </x:si>
  <x:si>
    <x:t xml:space="preserve">초기 MSA·Kafka 제외</x:t>
  </x:si>
  <x:si>
    <x:t xml:space="preserve">Tech Lead/PM</x:t>
  </x:si>
  <x:si>
    <x:t xml:space="preserve">FGC-COR-007</x:t>
  </x:si>
  <x:si>
    <x:t xml:space="preserve">AI의 금액결정 금지</x:t>
  </x:si>
  <x:si>
    <x:t xml:space="preserve">재정의 — 컬럼매핑 추천 예시 삭제(수집 제외)</x:t>
  </x:si>
  <x:si>
    <x:t xml:space="preserve">FGC-COR-008</x:t>
  </x:si>
  <x:si>
    <x:t xml:space="preserve">오픈소스 라이선스 준수</x:t>
  </x:si>
  <x:si>
    <x:t xml:space="preserve">DevOps/PM</x:t>
  </x:si>
  <x:si>
    <x:t xml:space="preserve">FGC-COR-009</x:t>
  </x:si>
  <x:si>
    <x:t xml:space="preserve">교육 프로젝트 규제면책 표시</x:t>
  </x:si>
  <x:si>
    <x:t xml:space="preserve">PM/Frontend</x:t>
  </x:si>
  <x:si>
    <x:t xml:space="preserve">SRC-005,팀 결정 2026-08-12(근거대장 "COR-009 화면 표기 개정")</x:t>
  </x:si>
  <x:si>
    <x:t xml:space="preserve">FGC-SAR-001</x:t>
  </x:si>
  <x:si>
    <x:t xml:space="preserve">중복 지급·정산 방지</x:t>
  </x:si>
  <x:si>
    <x:t xml:space="preserve">EPIC-SAFETY</x:t>
  </x:si>
  <x:si>
    <x:t xml:space="preserve">FGC-SAR-002</x:t>
  </x:si>
  <x:si>
    <x:t xml:space="preserve">금액 계산 실패 시 차단</x:t>
  </x:si>
  <x:si>
    <x:t xml:space="preserve">Backend/Domain/QA</x:t>
  </x:si>
  <x:si>
    <x:t xml:space="preserve">FGC-SAR-003</x:t>
  </x:si>
  <x:si>
    <x:t xml:space="preserve">마감 후 무단 변경 방지</x:t>
  </x:si>
  <x:si>
    <x:t xml:space="preserve">Backend/Security/QA</x:t>
  </x:si>
  <x:si>
    <x:t xml:space="preserve">FGC-SAR-004</x:t>
  </x:si>
  <x:si>
    <x:t xml:space="preserve">배포 롤백과 데이터 호환</x:t>
  </x:si>
  <x:si>
    <x:t xml:space="preserve">FGC-PMR-001</x:t>
  </x:si>
  <x:si>
    <x:t xml:space="preserve">요구사항 베이스라인 관리</x:t>
  </x:si>
  <x:si>
    <x:t xml:space="preserve">관리</x:t>
  </x:si>
  <x:si>
    <x:t xml:space="preserve">PM/BA</x:t>
  </x:si>
  <x:si>
    <x:t xml:space="preserve">EPIC-PM</x:t>
  </x:si>
  <x:si>
    <x:t xml:space="preserve">보강 — v2.0 베이스라인 갱신</x:t>
  </x:si>
  <x:si>
    <x:t xml:space="preserve">FGC-PMR-002</x:t>
  </x:si>
  <x:si>
    <x:t xml:space="preserve">GitHub Issues 백로그 관리</x:t>
  </x:si>
  <x:si>
    <x:t xml:space="preserve">보강 — 수집 Epic 제거</x:t>
  </x:si>
  <x:si>
    <x:t xml:space="preserve">FGC-PMR-003</x:t>
  </x:si>
  <x:si>
    <x:t xml:space="preserve">문서·의사결정 관리</x:t>
  </x:si>
  <x:si>
    <x:t xml:space="preserve">FGC-PMR-004</x:t>
  </x:si>
  <x:si>
    <x:t xml:space="preserve">Git 브랜치 전략</x:t>
  </x:si>
  <x:si>
    <x:t xml:space="preserve">사용자 선정 도구,CONTRIBUTING.md</x:t>
  </x:si>
  <x:si>
    <x:t xml:space="preserve">FGC-PMR-005</x:t>
  </x:si>
  <x:si>
    <x:t xml:space="preserve">Issue·PR·Commit 규칙</x:t>
  </x:si>
  <x:si>
    <x:t xml:space="preserve">FGC-PMR-006</x:t>
  </x:si>
  <x:si>
    <x:t xml:space="preserve">스프린트 운영</x:t>
  </x:si>
  <x:si>
    <x:t xml:space="preserve">FGC-PMR-007</x:t>
  </x:si>
  <x:si>
    <x:t xml:space="preserve">일정·마일스톤 관리</x:t>
  </x:si>
  <x:si>
    <x:t xml:space="preserve">사용자 확정 일정</x:t>
  </x:si>
  <x:si>
    <x:t xml:space="preserve">보강 — 개발 마감일(발표 전일) 명시</x:t>
  </x:si>
  <x:si>
    <x:t xml:space="preserve">FGC-PMR-008</x:t>
  </x:si>
  <x:si>
    <x:t xml:space="preserve">리스크·이슈 관리</x:t>
  </x:si>
  <x:si>
    <x:t xml:space="preserve">FGC-PMR-009</x:t>
  </x:si>
  <x:si>
    <x:t xml:space="preserve">변경 영향분석</x:t>
  </x:si>
  <x:si>
    <x:t xml:space="preserve">PM/Tech Lead/QA</x:t>
  </x:si>
  <x:si>
    <x:t xml:space="preserve">FGC-PMR-010</x:t>
  </x:si>
  <x:si>
    <x:t xml:space="preserve">품질 게이트</x:t>
  </x:si>
  <x:si>
    <x:t xml:space="preserve">QA/DevOps/PM</x:t>
  </x:si>
  <x:si>
    <x:t xml:space="preserve">FGC-PMR-011</x:t>
  </x:si>
  <x:si>
    <x:t xml:space="preserve">릴리스·버전 관리</x:t>
  </x:si>
  <x:si>
    <x:t xml:space="preserve">FGC-PMR-012</x:t>
  </x:si>
  <x:si>
    <x:t xml:space="preserve">산출물 검토·승인</x:t>
  </x:si>
  <x:si>
    <x:t xml:space="preserve">FGC-PSR-001</x:t>
  </x:si>
  <x:si>
    <x:t xml:space="preserve">보험 도메인 온보딩</x:t>
  </x:si>
  <x:si>
    <x:t xml:space="preserve">EPIC-SUPPORT</x:t>
  </x:si>
  <x:si>
    <x:t xml:space="preserve">FGC-PSR-002</x:t>
  </x:si>
  <x:si>
    <x:t xml:space="preserve">개발환경 자동 구성</x:t>
  </x:si>
  <x:si>
    <x:t xml:space="preserve">FGC-PSR-003</x:t>
  </x:si>
  <x:si>
    <x:t xml:space="preserve">Swagger·Postman 테스트 자산</x:t>
  </x:si>
  <x:si>
    <x:t xml:space="preserve">FGC-PSR-004</x:t>
  </x:si>
  <x:si>
    <x:t xml:space="preserve">사용자·관리자 매뉴얼</x:t>
  </x:si>
  <x:si>
    <x:t xml:space="preserve">PM/Frontend/DevOps</x:t>
  </x:si>
  <x:si>
    <x:t xml:space="preserve">FGC-PSR-005</x:t>
  </x:si>
  <x:si>
    <x:t xml:space="preserve">운영·장애대응 Runbook</x:t>
  </x:si>
  <x:si>
    <x:t xml:space="preserve">DevOps/Backend/PM</x:t>
  </x:si>
  <x:si>
    <x:t xml:space="preserve">v2.1: 파일오류 표현 삭제</x:t>
  </x:si>
  <x:si>
    <x:t xml:space="preserve">FGC-PSR-006</x:t>
  </x:si>
  <x:si>
    <x:t xml:space="preserve">발표·데모 패키지</x:t>
  </x:si>
  <x:si>
    <x:t xml:space="preserve">FGC-FUN-063</x:t>
  </x:si>
  <x:si>
    <x:t xml:space="preserve">차익거래 방지 검증</x:t>
  </x:si>
  <x:si>
    <x:t xml:space="preserve">FGC-FUN-036,FGC-FUN-041,FGC-FUN-046,FGC-FUN-052,FGC-FUN-053</x:t>
  </x:si>
  <x:si>
    <x:t xml:space="preserve">SRC-001,SRC-014,SRC-016,REG-12,REG-23,SRC-022,SRC-025,REG-11</x:t>
  </x:si>
  <x:si>
    <x:t xml:space="preserve">v2.2.1: REG-23 36개월 예상 해약환급률표·코드 정합성 반영 · v2.2.2: 마스터·FUN·RTM 반영 확인</x:t>
  </x:si>
  <x:si>
    <x:t xml:space="preserve">FGC-FUN-064</x:t>
  </x:si>
  <x:si>
    <x:t xml:space="preserve">유지관리·장기유지수수료 검증</x:t>
  </x:si>
  <x:si>
    <x:t xml:space="preserve">FGC-FUN-010,FGC-FUN-014,FGC-FUN-015,FGC-FUN-025~029,FGC-FUN-037,FGC-FUN-038,FGC-FUN-062</x:t>
  </x:si>
  <x:si>
    <x:t xml:space="preserve">SRC-001,SRC-003,SRC-014,REG-03~07,REG-19</x:t>
  </x:si>
  <x:si>
    <x:t xml:space="preserve">FGC-DAR-011</x:t>
  </x:si>
  <x:si>
    <x:t xml:space="preserve">합성 시연 데이터 생성기</x:t>
  </x:si>
  <x:si>
    <x:t xml:space="preserve">FGC-FUN-011,FGC-FUN-018,FGC-FUN-030~053,FGC-FUN-063,FGC-FUN-065</x:t>
  </x:si>
  <x:si>
    <x:t xml:space="preserve">SRC-004,SRC-005,SRC-014,REG-20,REG-21,REG-23</x:t>
  </x:si>
  <x:si>
    <x:t xml:space="preserve">v2.2.1: REG-20·21·23 합성 시나리오 추가 · v2.2.2: 마스터·DAR·RTM 반영·추적상태 확인</x:t>
  </x:si>
  <x:si>
    <x:t xml:space="preserve">FGC-FUN-065</x:t>
  </x:si>
  <x:si>
    <x:t xml:space="preserve">수수료 지급 건 등록·수정</x:t>
  </x:si>
  <x:si>
    <x:t xml:space="preserve">FGC-FUN-009,FGC-FUN-018,FGC-FUN-033,FGC-FUN-048,FGC-FUN-049</x:t>
  </x:si>
  <x:si>
    <x:t xml:space="preserve">EPIC-PAYMENT</x:t>
  </x:si>
  <x:si>
    <x:t xml:space="preserve">SRC-014,SRC-018,SRC-021,REG-20,REG-22,스키마 commission_transaction·transaction_attribution</x:t>
  </x:si>
  <x:si>
    <x:t xml:space="preserve">v2.2.1: REG-20 정착지원금 귀속·REG-22 근거버전 반영</x:t>
  </x:si>
  <x:si>
    <x:t xml:space="preserve">원수사 데이터 정규화 적재 전제</x:t>
  </x:si>
  <x:si>
    <x:t xml:space="preserve">FGC-DAR-011,FGC-FUN-018,FGC-FUN-065,FGC-FUN-066,FGC-FUN-069</x:t>
  </x:si>
  <x:si>
    <x:t xml:space="preserve">팀 결정 2026-07-31, OI-021(2026-10-22 결정)</x:t>
  </x:si>
  <x:si>
    <x:t xml:space="preserve">v2.1: 활성 1차 스키마에서도 수집 모듈 제외 / v2.2.2-r17(2026-10-22): OI-021 결정으로 2차 한정 입력 보조 예외 연결</x:t>
  </x:si>
  <x:si>
    <x:t xml:space="preserve">FGC-FUN-066</x:t>
  </x:si>
  <x:si>
    <x:t xml:space="preserve">AI 문서함: 업로드·서식 판별·처리상태</x:t>
  </x:si>
  <x:si>
    <x:t xml:space="preserve">초안</x:t>
  </x:si>
  <x:si>
    <x:t xml:space="preserve">FGC-FUN-067,FGC-FUN-068,FGC-FUN-069,FGC-FUN-070,FGC-FUN-071,FGC-FUN-078,FGC-SER-005,FGC-COR-010</x:t>
  </x:si>
  <x:si>
    <x:t xml:space="preserve">EPIC-AI-INTAKE</x:t>
  </x:si>
  <x:si>
    <x:t xml:space="preserve">SRC-025(2차 FAQ Q12-2·정산데이터),REG-23,SRC-057,SRC-058,SRC-027(D-05),OI-021</x:t>
  </x:si>
  <x:si>
    <x:t xml:space="preserve">FGC-FUN-067</x:t>
  </x:si>
  <x:si>
    <x:t xml:space="preserve">해약환급률표 추출·환급률표 초안 생성</x:t>
  </x:si>
  <x:si>
    <x:t xml:space="preserve">FGC-FUN-066,FGC-FUN-069,FGC-FUN-017,FGC-FUN-030,FGC-FUN-063,FGC-DAR-011</x:t>
  </x:si>
  <x:si>
    <x:t xml:space="preserve">REG-23,REG-12,REG-08,REG-22,SRC-025(2차 FAQ Q12-2 :212-236),SRC-049,SRC-027</x:t>
  </x:si>
  <x:si>
    <x:t xml:space="preserve">FGC-FUN-068</x:t>
  </x:si>
  <x:si>
    <x:t xml:space="preserve">정산데이터(수수료 명세) 추출·원천 명세 적재</x:t>
  </x:si>
  <x:si>
    <x:t xml:space="preserve">FGC-FUN-048,FGC-FUN-049,FGC-FUN-052,FGC-FUN-065,FGC-FUN-066,FGC-FUN-069,FGC-SAR-001</x:t>
  </x:si>
  <x:si>
    <x:t xml:space="preserve">SRC-025(2차 FAQ :292·:302 정산데이터),SRC-005,SRC-027,운영정책서 원천유형별 대사 대상 요건,REG-08,REG-22,SRC-057</x:t>
  </x:si>
  <x:si>
    <x:t xml:space="preserve">FGC-FUN-069</x:t>
  </x:si>
  <x:si>
    <x:t xml:space="preserve">추출 결과 검토·일괄 확정</x:t>
  </x:si>
  <x:si>
    <x:t xml:space="preserve">FGC-FUN-066,FGC-FUN-067,FGC-FUN-068,FGC-FUN-070,FGC-FUN-071,FGC-FUN-078,FGC-FUN-033,FGC-FUN-061,FGC-COR-007,FGC-SAR-001,FGC-SAR-002</x:t>
  </x:si>
  <x:si>
    <x:t xml:space="preserve">COR-007,SAR-001,SAR-002,REG-22</x:t>
  </x:si>
  <x:si>
    <x:t xml:space="preserve">FGC-FUN-070</x:t>
  </x:si>
  <x:si>
    <x:t xml:space="preserve">수수료율표·시책 추출·정책 버전 초안 생성</x:t>
  </x:si>
  <x:si>
    <x:t xml:space="preserve">FGC-FUN-011,FGC-FUN-013,FGC-FUN-016,FGC-FUN-017,FGC-FUN-066,FGC-FUN-069,FGC-COR-004,FGC-COR-005</x:t>
  </x:si>
  <x:si>
    <x:t xml:space="preserve">SRC-058,SRC-019,SRC-020,REG-09,REG-22,COR-004</x:t>
  </x:si>
  <x:si>
    <x:t xml:space="preserve">FGC-FUN-071</x:t>
  </x:si>
  <x:si>
    <x:t xml:space="preserve">증권·청약서 이미지 추출·계약 등록 초안</x:t>
  </x:si>
  <x:si>
    <x:t xml:space="preserve">FGC-FUN-018,FGC-FUN-066,FGC-FUN-069,FGC-DAR-008,FGC-SER-012,FGC-SER-013</x:t>
  </x:si>
  <x:si>
    <x:t xml:space="preserve">SRC-027(D-05 계약자 개인정보 미저장),DAR-008,COR-005,SRC-057</x:t>
  </x:si>
  <x:si>
    <x:t xml:space="preserve">FGC-FUN-072</x:t>
  </x:si>
  <x:si>
    <x:t xml:space="preserve">규정·FAQ 근거 라이브러리 색인</x:t>
  </x:si>
  <x:si>
    <x:t xml:space="preserve">FGC-FUN-016,FGC-FUN-066,FGC-FUN-073,FGC-FUN-074,FGC-FUN-081</x:t>
  </x:si>
  <x:si>
    <x:t xml:space="preserve">EPIC-AI-ASSIST</x:t>
  </x:si>
  <x:si>
    <x:t xml:space="preserve">SRC-022,SRC-023,SRC-025,SRC-045(ADR-04 pgvector)</x:t>
  </x:si>
  <x:si>
    <x:t xml:space="preserve">FGC-FUN-073</x:t>
  </x:si>
  <x:si>
    <x:t xml:space="preserve">FGC-FUN-074</x:t>
  </x:si>
  <x:si>
    <x:t xml:space="preserve">규정 근거 질의응답(RAG)</x:t>
  </x:si>
  <x:si>
    <x:t xml:space="preserve">FGC-FUN-072,FGC-FUN-073</x:t>
  </x:si>
  <x:si>
    <x:t xml:space="preserve">SRC-022,SRC-025,SRC-045,SRC-052(70·28·2 근거 없음),REG-19,REG-20</x:t>
  </x:si>
  <x:si>
    <x:t xml:space="preserve">FGC-FUN-075</x:t>
  </x:si>
  <x:si>
    <x:t xml:space="preserve">정산 탐정: 공통 패턴 탐지</x:t>
  </x:si>
  <x:si>
    <x:t xml:space="preserve">SRC-054(팀 MVP 정산 탐정),SRC-032(예외 업무건·검출이력 분리),COR-004</x:t>
  </x:si>
  <x:si>
    <x:t xml:space="preserve">FGC-FUN-076</x:t>
  </x:si>
  <x:si>
    <x:t xml:space="preserve">FGC-FUN-077</x:t>
  </x:si>
  <x:si>
    <x:t xml:space="preserve">계약 타임머신: 상태 사건 영향 미리보기</x:t>
  </x:si>
  <x:si>
    <x:t xml:space="preserve">FGC-FUN-025,FGC-FUN-026,FGC-FUN-028,FGC-FUN-029,FGC-FUN-054,FGC-FUN-055</x:t>
  </x:si>
  <x:si>
    <x:t xml:space="preserve">REG-12,REG-13,REG-14,SRC-025(2차 FAQ Q11·Q12),SRC-054</x:t>
  </x:si>
  <x:si>
    <x:t xml:space="preserve">v3.0 (2026-10-26, 현준): 포함 확정(S), 구현 후순위. 상태 사건·보류·재개·환수 검토의 순수 계산 미리보기 유지, FUN-064 의존성 제거. 이전 개정은 Z1_개정이력 참조.</x:t>
  </x:si>
  <x:si>
    <x:t xml:space="preserve">FGC-FUN-078</x:t>
  </x:si>
  <x:si>
    <x:t xml:space="preserve">비교설명 자료 적재·동종유사 상품 목록</x:t>
  </x:si>
  <x:si>
    <x:t xml:space="preserve">FGC-FUN-007,FGC-FUN-066,FGC-FUN-069,FGC-FUN-079</x:t>
  </x:si>
  <x:si>
    <x:t xml:space="preserve">REG-18,SRC-056(별표 5의6 제5호),SRC-022(제4-11조①),SRC-002,SRC-025(Q17~Q23),OI-024,OI-025</x:t>
  </x:si>
  <x:si>
    <x:t xml:space="preserve">FGC-FUN-079</x:t>
  </x:si>
  <x:si>
    <x:t xml:space="preserve">FGC-FUN-080</x:t>
  </x:si>
  <x:si>
    <x:t xml:space="preserve">관리자 홈 대시보드 개편</x:t>
  </x:si>
  <x:si>
    <x:t xml:space="preserve">FGC-FUN-057,FGC-FUN-053,FGC-DAR-012,FGC-PER-004</x:t>
  </x:si>
  <x:si>
    <x:t xml:space="preserve">FUN-057,SRC-054,REG-08(계약별 한도),SRC-032(예외 업무건 집계),PER-004</x:t>
  </x:si>
  <x:si>
    <x:t xml:space="preserve">v3.0 (2026-10-26, 현준): 포함 확정(M). GA·설계사 현황과 미처리 예외 두 영역으로 축소. 자료마당·공지·문의 및 준비 중 영역을 제외한다. 이전 개정은 Z1_개정이력 참조.</x:t>
  </x:si>
  <x:si>
    <x:t xml:space="preserve">FGC-FUN-081</x:t>
  </x:si>
  <x:si>
    <x:t xml:space="preserve">자료마당: 보험·규제 소식과 근거 자료</x:t>
  </x:si>
  <x:si>
    <x:t xml:space="preserve">FGC-FUN-072,FGC-FUN-080</x:t>
  </x:si>
  <x:si>
    <x:t xml:space="preserve">SRC-055</x:t>
  </x:si>
  <x:si>
    <x:t xml:space="preserve">FGC-FUN-082</x:t>
  </x:si>
  <x:si>
    <x:t xml:space="preserve">공지사항</x:t>
  </x:si>
  <x:si>
    <x:t xml:space="preserve">FGC-FUN-080,FGC-FUN-061</x:t>
  </x:si>
  <x:si>
    <x:t xml:space="preserve">EPIC-COLLAB</x:t>
  </x:si>
  <x:si>
    <x:t xml:space="preserve">업무 규칙 아님 — 가상 GA 정책으로 정함</x:t>
  </x:si>
  <x:si>
    <x:t xml:space="preserve">FGC-FUN-083</x:t>
  </x:si>
  <x:si>
    <x:t xml:space="preserve">수수료 문의·이의신청</x:t>
  </x:si>
  <x:si>
    <x:t xml:space="preserve">FGC-FUN-047,FGC-FUN-054,FGC-FUN-055,FGC-FUN-056,FGC-FUN-060,FGC-FUN-080,FGC-FUN-085</x:t>
  </x:si>
  <x:si>
    <x:t xml:space="preserve">SRC-025(2차 FAQ Q11 환수 사유·금액 안내),REG-12,업무 규칙 아님 — 가상 GA 정책으로 정함(처리 절차·기한)</x:t>
  </x:si>
  <x:si>
    <x:t xml:space="preserve">FGC-FUN-084</x:t>
  </x:si>
  <x:si>
    <x:t xml:space="preserve">환수 통지서 PDF 생성·다운로드·발행 이력</x:t>
  </x:si>
  <x:si>
    <x:t xml:space="preserve">SRC-025(2차 FAQ Q11 ①②),REG-12,REG-14,SRC-019(회사별 상계 관행),SRC-005,업무 규칙 아님 — 가상 GA 정책으로 정함(양식·이의기간)</x:t>
  </x:si>
  <x:si>
    <x:t xml:space="preserve">FGC-FUN-085</x:t>
  </x:si>
  <x:si>
    <x:t xml:space="preserve">설계사 역할·본인 데이터 경계</x:t>
  </x:si>
  <x:si>
    <x:t xml:space="preserve">FUN-002,FUN-060,SER-002,SRC-054</x:t>
  </x:si>
  <x:si>
    <x:t xml:space="preserve">FGC-FUN-086</x:t>
  </x:si>
  <x:si>
    <x:t xml:space="preserve">SRC-054(팀 MVP 오늘의 계약 관리),SRC-027(D-05),FUN-060</x:t>
  </x:si>
  <x:si>
    <x:t xml:space="preserve">FGC-SIR-009</x:t>
  </x:si>
  <x:si>
    <x:t xml:space="preserve">검색형 선택·맥락 전달 입력</x:t>
  </x:si>
  <x:si>
    <x:t xml:space="preserve">FGC-FUN-018,FGC-FUN-058,FGC-FUN-065,FGC-FUN-069,FGC-SIR-005</x:t>
  </x:si>
  <x:si>
    <x:t xml:space="preserve">SRC-051(멘토 피드백: 화면을 오가는 수기 입력),SRC-028(구현 기술표준·접근성)</x:t>
  </x:si>
  <x:si>
    <x:t xml:space="preserve">v2.2.2-r15 신규(2026-10-21) — 팀 승인 전 제안(상태 초안) · r16(2026-10-22) 독립 검토 반영 · r18 재검토 반영 · r19 추가 보완 반영</x:t>
  </x:si>
  <x:si>
    <x:t xml:space="preserve">FGC-DAR-012</x:t>
  </x:si>
  <x:si>
    <x:t xml:space="preserve">600인 가상 GA 합성 데이터셋</x:t>
  </x:si>
  <x:si>
    <x:t xml:space="preserve">FGC-DAR-011,FGC-PER-003,FGC-PER-004,FGC-FUN-075,FGC-FUN-080,FGC-FUN-085,FGC-TER-011</x:t>
  </x:si>
  <x:si>
    <x:t xml:space="preserve">DAR-011,PER-003,SRC-054,SRC-027(D-05),SRC-022(제4-11조① 500명 이상 대형 GA, OI-024)</x:t>
  </x:si>
  <x:si>
    <x:t xml:space="preserve">FGC-SER-013</x:t>
  </x:si>
  <x:si>
    <x:t xml:space="preserve">외부 LLM 연계 보안</x:t>
  </x:si>
  <x:si>
    <x:t xml:space="preserve">FGC-SER-002,FGC-SER-005,FGC-SER-006,FGC-SER-008,FGC-DAR-008,FGC-COR-007,FGC-FUN-066,FGC-FUN-073,FGC-FUN-074,FGC-FUN-079</x:t>
  </x:si>
  <x:si>
    <x:t xml:space="preserve">SRC-057,SRC-059,SRC-060,SRC-027(D-05),SRC-045,SER-008,OI-023</x:t>
  </x:si>
  <x:si>
    <x:t xml:space="preserve">FGC-TER-011</x:t>
  </x:si>
  <x:si>
    <x:t xml:space="preserve">AI 추출·응답 평가셋</x:t>
  </x:si>
  <x:si>
    <x:t xml:space="preserve">FGC-FUN-066,FGC-FUN-067,FGC-FUN-068,FGC-FUN-070,FGC-FUN-071,FGC-FUN-073,FGC-FUN-074,FGC-FUN-078,FGC-FUN-079,FGC-SER-013,FGC-TER-003,FGC-TER-010</x:t>
  </x:si>
  <x:si>
    <x:t xml:space="preserve">SRC-053,SRC-057,TER-003,COR-007</x:t>
  </x:si>
  <x:si>
    <x:t xml:space="preserve">FGC-PER-008</x:t>
  </x:si>
  <x:si>
    <x:t xml:space="preserve">AI 처리 시간</x:t>
  </x:si>
  <x:si>
    <x:t xml:space="preserve">FGC-FUN-066,FGC-FUN-069,FGC-FUN-073,FGC-PER-001</x:t>
  </x:si>
  <x:si>
    <x:t xml:space="preserve">업무 규칙 아님 — 가상 GA 정책으로 정함,SRC-057(파일 크기·토큰 고려)</x:t>
  </x:si>
  <x:si>
    <x:t xml:space="preserve">FGC-FUN-087</x:t>
  </x:si>
  <x:si>
    <x:t xml:space="preserve">FGC-FUN-088</x:t>
  </x:si>
  <x:si>
    <x:t xml:space="preserve">ID</x:t>
  </x:si>
  <x:si>
    <x:t xml:space="preserve">영역</x:t>
  </x:si>
  <x:si>
    <x:t xml:space="preserve">미결정 질문</x:t>
  </x:si>
  <x:si>
    <x:t xml:space="preserve">결정기한</x:t>
  </x:si>
  <x:si>
    <x:t xml:space="preserve">담당</x:t>
  </x:si>
  <x:si>
    <x:t xml:space="preserve">영향도</x:t>
  </x:si>
  <x:si>
    <x:t xml:space="preserve">권고/결정내용</x:t>
  </x:si>
  <x:si>
    <x:t xml:space="preserve">관련 요구사항</x:t>
  </x:si>
  <x:si>
    <x:t xml:space="preserve">OI-001</x:t>
  </x:si>
  <x:si>
    <x:t xml:space="preserve">규정/정책</x:t>
  </x:si>
  <x:si>
    <x:t xml:space="preserve">1,200%룰 한도에 포함·제외되는 항목과 운영비 처리 기준을 어떤 샘플 규칙으로 확정할 것인가?</x:t>
  </x:si>
  <x:si>
    <x:t xml:space="preserve">2026-07-20</x:t>
  </x:si>
  <x:si>
    <x:t xml:space="preserve">확정</x:t>
  </x:si>
  <x:si>
    <x:t xml:space="preserve">보험회사→GA와 GA→설계사 초년도 수수료 한도를 별도 게이지로 관리한다. 준법경영비 3% 공제는 2027.1.1부터 보험회사→GA 게이지에만 적용하며, GA→설계사 게이지에는 적용하지 않는다. 제4-32조제7항 제외항목 중 FGC에 생기는 것은 신인활동지원비뿐이며 요건과 증빙을 충족한 경우에만 해당 게이지에서 제외한다(음성녹음·방송비는 TM·방송 채널 전용이라 해당 없음, SRC-036). 정착지원금·공통비 등은 실질과 계약귀속을 저장하고 근거가 부족하면 REVIEW_REQUIRED로 판정한다.</x:t>
  </x:si>
  <x:si>
    <x:t xml:space="preserve">FGC-FUN-012, FGC-FUN-013, FGC-FUN-030~035</x:t>
  </x:si>
  <x:si>
    <x:t xml:space="preserve">OI-002</x:t>
  </x:si>
  <x:si>
    <x:t xml:space="preserve">정책</x:t>
  </x:si>
  <x:si>
    <x:t xml:space="preserve">4년 분급 데모의 회차별 요율·총액 예시를 어떤 근거와 가정으로 사용할 것인가?</x:t>
  </x:si>
  <x:si>
    <x:t xml:space="preserve">PM/Domain</x:t>
  </x:si>
  <x:si>
    <x:t xml:space="preserve">4년·7년 분급 룰셋은 계약 체결연도만으로 선택하지 않는다. 상품 판매개시일, 기초서류 버전·작성/변경일과 적용 수수료체계 코드를 사용한다(FGC는 대면 모집만이라 채널 특례 없음, SRC-036). 4년은 최대 48개월·월 1.5% 이내, 7년은 최대 84개월·월 0.8% 이내와 5년 이후 장기유지 월 0.4% 이내를 정책버전 데이터로 관리한다. 경계사례는 자동 확정하지 않고 REVIEW_REQUIRED로 유지한다.</x:t>
  </x:si>
  <x:si>
    <x:t xml:space="preserve">FGC-FUN-014, FGC-FUN-037, FGC-FUN-038, FGC-FUN-062, FGC-FUN-064</x:t>
  </x:si>
  <x:si>
    <x:t xml:space="preserve">OI-003</x:t>
  </x:si>
  <x:si>
    <x:t xml:space="preserve">환수</x:t>
  </x:si>
  <x:si>
    <x:t xml:space="preserve">1차 데모에서 환수액까지 계산할지, 환수 검토대상 생성까지만 구현할지 확정할 것인가?</x:t>
  </x:si>
  <x:si>
    <x:t xml:space="preserve">2026-07-21</x:t>
  </x:si>
  <x:si>
    <x:t xml:space="preserve">환수 검토대상·계산·통지·상계(FUN-054~056)는 2차로 유지한다. 다만 1차 공통 예외 워크플로(FUN-053)는 1,200%·대사·원장·차익거래 예외를 처리하고, 2차 환수 예외도 같은 흐름을 재사용한다.</x:t>
  </x:si>
  <x:si>
    <x:t xml:space="preserve">FGC-FUN-053(1차 공통), FGC-FUN-054~056(2차)</x:t>
  </x:si>
  <x:si>
    <x:t xml:space="preserve">OI-004</x:t>
  </x:si>
  <x:si>
    <x:t xml:space="preserve">외부데이터</x:t>
  </x:si>
  <x:si>
    <x:t xml:space="preserve">보험사 지급명세 샘플 컬럼과 코드체계를 어떤 형식으로 확정할 것인가?</x:t>
  </x:si>
  <x:si>
    <x:t xml:space="preserve">Batch Lead</x:t>
  </x:si>
  <x:si>
    <x:t xml:space="preserve">합성 샘플 1종 우선, 실무 파일 확보 시 익명화 검토 → v1.4 결정(2026-07-27): 권고안 채택. → v2.0(7/31): 수집 기능 삭제로 쟁점 소멸 — 명세는 정규화 시드로 적재(COR-010).</x:t>
  </x:si>
  <x:si>
    <x:t xml:space="preserve">FGC-FUN-065, FGC-DAR-011 (구 FUN-020·021 삭제)</x:t>
  </x:si>
  <x:si>
    <x:t xml:space="preserve">OI-005</x:t>
  </x:si>
  <x:si>
    <x:t xml:space="preserve">사용자</x:t>
  </x:si>
  <x:si>
    <x:t xml:space="preserve">실제 사용자 역할과 승인단계는 관리자·정산담당·준법/감사 3~4종으로 충분한가?</x:t>
  </x:si>
  <x:si>
    <x:t xml:space="preserve">2026-07-22</x:t>
  </x:si>
  <x:si>
    <x:t xml:space="preserve">권한매트릭스 워크숍 수행 → v1.4 결정(2026-07-27): 권고안 채택.</x:t>
  </x:si>
  <x:si>
    <x:t xml:space="preserve">FGC-FUN-002, FGC-FUN-017</x:t>
  </x:si>
  <x:si>
    <x:t xml:space="preserve">OI-006</x:t>
  </x:si>
  <x:si>
    <x:t xml:space="preserve">대사</x:t>
  </x:si>
  <x:si>
    <x:t xml:space="preserve">금액 허용오차와 매칭 우선순위를 어떻게 정의할 것인가?</x:t>
  </x:si>
  <x:si>
    <x:t xml:space="preserve">2026-08-31</x:t>
  </x:si>
  <x:si>
    <x:t xml:space="preserve">Domain/Batch</x:t>
  </x:si>
  <x:si>
    <x:t xml:space="preserve">1차 대사는 금액·회차·기준일 0원/0일 정확일치로 판정한다. 2차에는 보험회사·항목·적용기간별 허용오차 정책을 추가한다.</x:t>
  </x:si>
  <x:si>
    <x:t xml:space="preserve">FGC-FUN-048, FGC-FUN-050</x:t>
  </x:si>
  <x:si>
    <x:t xml:space="preserve">OI-007</x:t>
  </x:si>
  <x:si>
    <x:t xml:space="preserve">마감</x:t>
  </x:si>
  <x:si>
    <x:t xml:space="preserve">월 정산 마감·재오픈·정정 승인 흐름을 어떤 업무 프로세스로 확정할 것인가?</x:t>
  </x:si>
  <x:si>
    <x:t xml:space="preserve">2026-09-07</x:t>
  </x:si>
  <x:si>
    <x:t xml:space="preserve">1차는 검증실행 결과 잠금과 복식원장의 기본 역분개·재기표를 구현한다. 실제 송금·법정 회계마감·재오픈 승인은 제외한다. 2차는 환수·상계·승인흐름으로 확장한다.</x:t>
  </x:si>
  <x:si>
    <x:t xml:space="preserve">FGC-FUN-044, FGC-FUN-046, FGC-FUN-047</x:t>
  </x:si>
  <x:si>
    <x:t xml:space="preserve">OI-008</x:t>
  </x:si>
  <x:si>
    <x:t xml:space="preserve">규모</x:t>
  </x:si>
  <x:si>
    <x:t xml:space="preserve">성능시험 데이터량 30,000/100,000건과 동시사용자 50명이 발표환경에서 현실적인가?</x:t>
  </x:si>
  <x:si>
    <x:t xml:space="preserve">2026-09-14</x:t>
  </x:si>
  <x:si>
    <x:t xml:space="preserve">초기 측정 후 목표 보정 → v1.4 결정(2026-07-27): 권고안 채택.</x:t>
  </x:si>
  <x:si>
    <x:t xml:space="preserve">OI-009</x:t>
  </x:si>
  <x:si>
    <x:t xml:space="preserve">개인정보</x:t>
  </x:si>
  <x:si>
    <x:t xml:space="preserve">계약·설계사 데이터에서 필요한 개인정보 필드와 보존기간은 무엇인가?</x:t>
  </x:si>
  <x:si>
    <x:t xml:space="preserve">데모는 최소필드·합성데이터 원칙 → v1.4 결정(2026-07-27): 권고안 채택.</x:t>
  </x:si>
  <x:si>
    <x:t xml:space="preserve">FGC-DAR-008, FGC-SER-012</x:t>
  </x:si>
  <x:si>
    <x:t xml:space="preserve">OI-010</x:t>
  </x:si>
  <x:si>
    <x:t xml:space="preserve">멀티테넌시</x:t>
  </x:si>
  <x:si>
    <x:t xml:space="preserve">2차에서 단일 GA 데모로 충분한지 멀티 GA 테넌트 격리를 구현할 것인가?</x:t>
  </x:si>
  <x:si>
    <x:t xml:space="preserve">2026-09-21</x:t>
  </x:si>
  <x:si>
    <x:t xml:space="preserve">단일 GA로 간다(2026-10-19 팀 결정 · 프로젝트 가정 — 업무 규칙 아님). 2차 시연·운영 범위는 가상 GA 한 곳이며, 멀티 GA 테넌트 격리(FGC-SER-011의 tenant_id 필터)는 2차에서 구현하지 않는다. 판단: 격리에는 전 업무 테이블 tenant_id·조회 필터·GA 간 교차 접근 시험이 필요해 2차 일정(발표 2026-11-16) 대비 비용이 크고, 현재 코드에 테넌트 구분(tenant_id)이 없다(스키마는 조직 유형으로 GA를 허용할 뿐 개수를 제한하지 않으므로, 단일 GA 범위의 근거는 이 팀 결정이다). 다시 열 조건: 복수 GA가 같은 FGC를 쓰는 시나리오를 팀이 범위에 넣을 때. (이전 기록: 최종 발표 차별성과 일정 비교 후 결정 → v1.4 결정(2026-07-27): 권고안 채택. — 결론이 적혀 있지 않았음)</x:t>
  </x:si>
  <x:si>
    <x:t xml:space="preserve">OI-011</x:t>
  </x:si>
  <x:si>
    <x:t xml:space="preserve">배포</x:t>
  </x:si>
  <x:si>
    <x:t xml:space="preserve">Kubernetes 사용 환경·도메인·TLS 인증서·비용을 어떤 방식으로 확보할 것인가?</x:t>
  </x:si>
  <x:si>
    <x:t xml:space="preserve">교육 클러스터·클라우드·로컬 K8s 대안 비교 → v1.4 결정(2026-07-27): 권고안 채택. → 2026-09-21 ADR-05 확정: AWS EC2 3구역 + Podman Pod + Jenkins 같은 digest 승격, 실도메인 HTTPS. Kubernetes·Argo CD는 조건부 병행 트랙(docs/2차/05_k8s_병행트랙_계획.md).</x:t>
  </x:si>
  <x:si>
    <x:t xml:space="preserve">FGC-ECR-005, FGC-SER-007</x:t>
  </x:si>
  <x:si>
    <x:t xml:space="preserve">OI-012</x:t>
  </x:si>
  <x:si>
    <x:t xml:space="preserve">실무검증</x:t>
  </x:si>
  <x:si>
    <x:t xml:space="preserve">현업 종사자 인터뷰가 어려운 조건에서 도메인 가정과 실무성을 어떤 방식으로 검증할 것인가?</x:t>
  </x:si>
  <x:si>
    <x:t xml:space="preserve">2026-08-02</x:t>
  </x:si>
  <x:si>
    <x:t xml:space="preserve">PM/전원</x:t>
  </x:si>
  <x:si>
    <x:t xml:space="preserve">인터뷰 완료를 인수조건으로 두지 않는다. 금융위원회 공식자료·특허·영업규정집·수수료율표·시책·환수 실물양식을 출처등급별로 교차검토하고, 확정규칙/회사정책/데모가정을 분리한다. 확인되지 않은 내용은 REVIEW_REQUIRED 또는 OI로 유지한다.</x:t>
  </x:si>
  <x:si>
    <x:t xml:space="preserve">FGC-PMR-008, FGC-PMR-009, FGC-COR-009</x:t>
  </x:si>
  <x:si>
    <x:t xml:space="preserve">OI-013</x:t>
  </x:si>
  <x:si>
    <x:t xml:space="preserve">프론트전환</x:t>
  </x:si>
  <x:si>
    <x:t xml:space="preserve">1차 Thymeleaf 화면을 2차 React에서 재사용·교체할 경계를 어떻게 설계할 것인가?</x:t>
  </x:si>
  <x:si>
    <x:t xml:space="preserve">2026-07-24</x:t>
  </x:si>
  <x:si>
    <x:t xml:space="preserve">Frontend/Architect</x:t>
  </x:si>
  <x:si>
    <x:t xml:space="preserve">API·도메인 서비스 우선 분리, 화면은 단계적 교체 → v1.4 결정(2026-07-27): 권고안 채택.</x:t>
  </x:si>
  <x:si>
    <x:t xml:space="preserve">FGC-SIR-006, FGC-ECR-002</x:t>
  </x:si>
  <x:si>
    <x:t xml:space="preserve">OI-014</x:t>
  </x:si>
  <x:si>
    <x:t xml:space="preserve">지식재산</x:t>
  </x:si>
  <x:si>
    <x:t xml:space="preserve">1차 대사·원장 기능이 관련 특허와 인접할 수 있는데 교육용 데모·공개 시 어떤 표현과 검토조치를 적용할 것인가?</x:t>
  </x:si>
  <x:si>
    <x:t xml:space="preserve">2026-08-10</x:t>
  </x:si>
  <x:si>
    <x:t xml:space="preserve">CSV 업로드·컬럼매핑·원수사 포털 수집은 제외한다. 정규화된 합성 DB 데이터를 대상으로 독자 설계한 예상/실제 대사만 시연하고 교육용 비상업 프로토타입을 명시한다. 침해 여부는 팀이 단정하지 않으며 상용화·외부판매 전 변리사 검토를 게이트로 둔다.</x:t>
  </x:si>
  <x:si>
    <x:t xml:space="preserve">FGC-FUN-048~053, FGC-COR-009, FGC-COR-010</x:t>
  </x:si>
  <x:si>
    <x:t xml:space="preserve">OI-015</x:t>
  </x:si>
  <x:si>
    <x:t xml:space="preserve">범위</x:t>
  </x:si>
  <x:si>
    <x:t xml:space="preserve">1차 데모의 최종 핵심 범위를 무엇으로 고정할 것인가?</x:t>
  </x:si>
  <x:si>
    <x:t xml:space="preserve">현행 정책 조회·예상 수입/지급 스케줄·계약별 1,200%·복식부기 검증원장·양방향 대사·차익거래·예외·월 통합검증을 1차로 고정한다. 환수와 4년·7년 법정 분급은 2차다.</x:t>
  </x:si>
  <x:si>
    <x:t xml:space="preserve">FGC-FUN-011, FGC-FUN-030~053, FGC-FUN-063, FGC-FUN-065</x:t>
  </x:si>
  <x:si>
    <x:t xml:space="preserve">OI-016</x:t>
  </x:si>
  <x:si>
    <x:t xml:space="preserve">차익거래·계약체결비용·유지관리수수료 검증을 어느 릴리스에 둘 것인가?</x:t>
  </x:si>
  <x:si>
    <x:t xml:space="preserve">차익거래는 2026.3 기시행 규제이므로 1차 M, 계약체결비용과 유지관리·장기유지수수료 검증은 2027·2029 룰셋이므로 2차 M으로 확정한다. 수수료 등급·순위 기능은 이번 베이스라인에서 제외한다.</x:t>
  </x:si>
  <x:si>
    <x:t xml:space="preserve">FGC-FUN-062, FGC-FUN-063, FGC-FUN-064</x:t>
  </x:si>
  <x:si>
    <x:t xml:space="preserve">OI-017</x:t>
  </x:si>
  <x:si>
    <x:t xml:space="preserve">1차와 2차의 스케줄·검증 범위를 어떻게 분리할 것인가?</x:t>
  </x:si>
  <x:si>
    <x:t xml:space="preserve">2026-08-03</x:t>
  </x:si>
  <x:si>
    <x:t xml:space="preserve">1차는 예전부터 존재한 회사별 현행 지급방식으로 원수사→GA·GA→설계사 예상스케줄을 생성하고 1,200%·원장·대사·차익거래를 검증한다. 2차는 동일 엔진에 4년·7년 법정 분급, 계약체결비용, 유지관리 조건을 추가한다.</x:t>
  </x:si>
  <x:si>
    <x:t xml:space="preserve">FGC-FUN-011, FGC-FUN-036~053, FGC-FUN-062~064</x:t>
  </x:si>
  <x:si>
    <x:t xml:space="preserve">OI-018</x:t>
  </x:si>
  <x:si>
    <x:t xml:space="preserve">1차 범위</x:t>
  </x:si>
  <x:si>
    <x:t xml:space="preserve">1차 데모의 규제 적용상품을 어디까지로 제한할 것인가?</x:t>
  </x:si>
  <x:si>
    <x:t xml:space="preserve">1차 규제판정 대상은 월납 보장성보험 합성계약으로 제한한다. 적용 시작은 계약일 기준으로 판정하며 규칙마다 다르다: 1,200%(GA→설계사)는 2026-07-01 이후 체결, 1,200%(보험회사→GA)는 2021-01-01 이후 체결(SRC-025 Q1-1), 차익거래는 2026-03-01 이후 체결(SRC-022 부칙 제1조①, SRC-025 Q11. TM·방송 2027-01-01 특례는 해당 없음, SRC-036). 시작일 이전 계약·일시납·연납·저축성·자동차 등은 2차/백로그이며 화면에 적용대상 아님을 표시한다.</x:t>
  </x:si>
  <x:si>
    <x:t xml:space="preserve">FGC-FUN-012, FGC-FUN-030</x:t>
  </x:si>
  <x:si>
    <x:t xml:space="preserve">OI-019</x:t>
  </x:si>
  <x:si>
    <x:t xml:space="preserve">초년도 판단기간과 지급 귀속일의 기준을 어떤 팀 가정으로 고정할 것인가?</x:t>
  </x:si>
  <x:si>
    <x:t xml:space="preserve">초년도 판단기간은 계약 체결일부터 1년이다(SRC-025 Q1-1 "체결일로부터 1년간", 일 단위: 계약일 ≤ 귀속일 &lt; 계약일+1년). 실제 지급은 지급 건의 귀속일(transaction_attribution.attribution_date)로, 예상 스케줄은 스케줄 라인의 계약차월(contract_month_no) 1~12로 판정한다. attribution_month는 attribution_date가 속한 달(파생값)이며 집계·조회에만 쓴다. 정착지원금의 귀속 대상 신계약은 모집월 기준이다(OI-020). 테스트·문서에 교육용 룰셋임을 표시하고(화면에는 표기하지 않음 — COR-009, 2026-08-12 팀 결정) 공식 FAQ 변경 시 정책버전만 교체한다.</x:t>
  </x:si>
  <x:si>
    <x:t xml:space="preserve">FGC-FUN-012, FGC-FUN-030, FGC-FUN-031, FGC-FUN-036</x:t>
  </x:si>
  <x:si>
    <x:t xml:space="preserve">OI-020</x:t>
  </x:si>
  <x:si>
    <x:t xml:space="preserve">정착지원금·공통비처럼 여러 계약에 걸친 금액을 어떤 배부기준으로 계약별 귀속할 것인가?</x:t>
  </x:si>
  <x:si>
    <x:t xml:space="preserve">PM/Domain/Data</x:t>
  </x:si>
  <x:si>
    <x:t xml:space="preserve">경력설계사 정착지원금은 REG-20에 따라 지급월이 아니라 해당 설계사가 신계약을 모집한 월의 신계약에 월 단위로 귀속하고(8월 지급분 → 7월 모집 신계약), 지급 시기를 13차월 이후로 이연해도 귀속월은 변하지 않으며, 위촉 당월 무실적 선지급분은 최초 신계약 모집월의 신계약에 귀속한다. 일반 공통비에는 법정 단일 안분식이 없으므로 외부에서 정규화된 계약별 배부결과를 입력받는다. 시스템은 배부정책 버전, 배부기준, 배부 전후 총액 일치와 계약별 근거참조를 검증한다. 범용 공통비 안분엔진은 현재 범위에서 제외한다.</x:t>
  </x:si>
  <x:si>
    <x:t xml:space="preserve">FGC-FUN-013, FGC-FUN-031, FGC-FUN-036, FGC-FUN-065, FGC-DAR-011</x:t>
  </x:si>
  <x:si>
    <x:t xml:space="preserve">OI-021</x:t>
  </x:si>
  <x:si>
    <x:t xml:space="preserve">COR-010(원수사 데이터는 정규화 적재 전제, 업로드·컬럼매핑 제외)과 2차 AI 문서 입력(FUN-066~071·078)을 어떻게 함께 둘 것인가?</x:t>
  </x:si>
  <x:si>
    <x:t xml:space="preserve">2026-10-24</x:t>
  </x:si>
  <x:si>
    <x:t xml:space="preserve">결정</x:t>
  </x:si>
  <x:si>
    <x:t xml:space="preserve">결정(2026-10-22, 사용자 위임으로 PM 보조가 결정 — 프로젝트 가정, 업무 규칙 아님): **2차에 한해 조건부 허용.** 이유 — ① 멘토 지적 "화면을 오가는 수기 입력"을 직접 해결하는 유일한 기능이고 사용자가 2차 주인공으로 선택했다(SRC-051·054). ② r16에서 확정 경로를 기존 엔진 재사용(원천 명세 적재→기존 기표·대사·예외, 정책 DRAFT→승인)으로 바꿔 새 계산·우회 경로가 없다. ③ 보험사가 해약환급률표·정산데이터를 GA에 문서로 제공한다는 공식 근거가 있다(SRC-025 Q12-2·:292). ④ 스키마 변경이 작다(신규 테이블 + statement_batch.data_origin 값 1개). 조건 — (가) 허용 서식은 구현된 것만, Must는 해약환급률표·정산데이터·협회 등급자료 3종(협회 등급자료는 FUN-078이 Must라서 r18에 추가) (나) 개인정보 없는 합성·가상 문서만 (다) 사람 검토·확정 결과만 반영, AI 출력 자동 반영 금지(COR-007) (라) 원수사 사이트 자동 접속·스크래핑·RPA·서식 제한 없는 수집·컬럼 매핑 마스터는 계속 제외 (마) 1차와 시드 적재 전제 유지 (바) 10/27 PoC 게이트: 정산데이터 1종이 업로드→검토→확정→원천 적재→대사·예외까지 이어지지 않으면 LLM 추출을 빼고 xlsx 결정론 파서만으로 축소(예외 범위는 그대로) (사) 지넥슨 특허(KR10-2421271) 인접 우려는 독자 설계로 진행하되 상용화 전 변리사 검토 게이트 유지(COR-009, 인터페이스정의서 §10-4). 반영: COR-010 세부내용·검증기준·비고에 2차 예외를 연결(별도 개정 이력 r17). 기존 COR-010 원칙 문장은 지우지 않는다.</x:t>
  </x:si>
  <x:si>
    <x:t xml:space="preserve">FGC-COR-010, FGC-FUN-066, FGC-FUN-067, FGC-FUN-068, FGC-FUN-069, FGC-FUN-070, FGC-FUN-071, FGC-FUN-078</x:t>
  </x:si>
  <x:si>
    <x:t xml:space="preserve">OI-022</x:t>
  </x:si>
  <x:si>
    <x:t xml:space="preserve">설계사용 AI에 '생일 고객 조회' 같은 고객관리(CRM) 기능을 넣을 것인가?</x:t>
  </x:si>
  <x:si>
    <x:t xml:space="preserve">2026-10-21</x:t>
  </x:si>
  <x:si>
    <x:t xml:space="preserve">PM</x:t>
  </x:si>
  <x:si>
    <x:t xml:space="preserve">검토중</x:t>
  </x:si>
  <x:si>
    <x:t xml:space="preserve">권고·사용자 선택(2026-10-21): 넣지 않는다. COR-002(CRM 제외)와 SRC-027 D-05(계약자 개인정보 미저장)를 유지한다. 설계사 AI는 본인 계약·수수료·환수·비교설명 범위만 다룬다.</x:t>
  </x:si>
  <x:si>
    <x:t xml:space="preserve">FGC-COR-002, FGC-DAR-008, FGC-FUN-073, FGC-FUN-086</x:t>
  </x:si>
  <x:si>
    <x:t xml:space="preserve">OI-023</x:t>
  </x:si>
  <x:si>
    <x:t xml:space="preserve">런타임 LLM 공급자와 데이터 처리 방식은 무엇으로 할 것인가?</x:t>
  </x:si>
  <x:si>
    <x:t xml:space="preserve">Tech Lead</x:t>
  </x:si>
  <x:si>
    <x:t xml:space="preserve">결정(2026-10-22, 사용자 위임으로 PM 보조가 결정 — 프로젝트 가정, 업무 규칙 아님. r19에서 주최 측 제공 조건으로 개정): **OpenAI API, 기본 모델 gpt-4o-mini.** 2차 최종 릴리스에 필요한 결정이다 — Must인 AI 문서 입력(FUN-066~069·078)·피코(FUN-073)·추천사유 초안(FUN-079)이 모두 공급자에 의존한다. r19 개정 이유: 주최 측이 제공하는 키는 총 10달러·gpt-4o-mini다(SRC-060, 사용자 진술). r18의 gpt-6.1-sol·gpt-6-luna 기본값은 공식 목록에 있는 모델이지만 이 키로 쓸 수 있는 모델이 아니다. 정한 것 — (가) 문서 추출·피코·추천사유 기본 모델 gpt-4o-mini(입력 $0.15·출력 $0.60 per 1M 토큰, 구조화 출력·이미지 입력 지원, 종료 예정 2027-01-14로 발표 뒤), 모델 ID는 설정값 (나) 서버 LLM 게이트웨이 한 곳, OpenAI 공식 Java SDK. ADR-04(SRC-045)의 Spring AI·pgvector는 2차에서 쓰지 않는다 (다) 제공 키의 엔드포인트(직접·중계)와 Responses·구조화 출력·PDF/이미지 입력 허용 범위는 근거 없음 — 확인 필요 → 10/27 PoC에서 작은 텍스트→JSON 요청·대표 문서 요청·오류 시 규칙형 대체를 확인. 막혀 있으면 서버가 파싱한 텍스트를 허용되는 방식으로 보낸다 (라) xlsx·csv의 행·금액은 결정론 파서가 보존하고 LLM은 열 의미 해석·비정형 셀·설명 초안만. 600명·계약별 호출 금지, 같은 문서 재확정 시 재추출 금지 (마) 예산: ai_call_log 토큰 합계로 관리, 개발·평가 약 8달러·발표 예비 약 2달러(팀 운영 정책, 공식 한도 기능 아님). 회귀 시험은 저장된 정답 JSON으로, 실제 호출은 대표 평가 세트만 (바) store=false, Files API 미사용(삭제할 때까지 보존되므로 쓰면 즉시 삭제), 합성 문서만(OI-021) (사) 401·403·모델 접근 불가·쿼터 소진은 재시도하지 않고 규칙형 대체. 로컬 모델(EXAONE·Kimi·DeepSeek)·Gemini 무료 API는 지금 넣지 않는다 — 모델·하드웨어·한국어 표 추출 평가가 없고, 10달러로 텍스트 호출은 충분하다(입력 4,000+출력 1,000 토큰 1,000회 약 1.2달러). 10/27에 대표 양식 추출이 실패하면 먼저 OI-021의 xlsx 결정론 파서로 축소하고, 그래도 해결되지 않는 문제가 입증될 때만 대안 공급자를 TER-011 평가와 함께 검토한다. 저장된 응답을 실시간 AI처럼 보여주지 않는다.</x:t>
  </x:si>
  <x:si>
    <x:t xml:space="preserve">FGC-SER-013, FGC-FUN-066, FGC-FUN-073, FGC-FUN-074, FGC-FUN-079</x:t>
  </x:si>
  <x:si>
    <x:t xml:space="preserve">OI-024</x:t>
  </x:si>
  <x:si>
    <x:t xml:space="preserve">가상 GA를 대형 법인보험대리점(감독규정 별표 5의6 적용)으로 볼 것인가?</x:t>
  </x:si>
  <x:si>
    <x:t xml:space="preserve">권고: 본다. 법문 조건은 '직전 분기 일평균 소속 설계사 500명 이상'(SRC-022 제4-11조①)이므로 DAR-012 레코드 수(해촉 포함)로 증명하지 않고, 데이터셋 메타데이터에 '기준일 직전 분기 일평균 소속 설계사 600명'을 프로젝트 가정으로 기록한다. 그러면 별표 5의6 제5호 비교·설명 의무(다른 회사 동종·유사 상품 3개 이상, 권유 가능한 보험회사 목록, 선정 기준·추천사유·수수료등 수준 설명, 확인서 수령)가 적용된다(SRC-056). 이것은 가상 GA 운영정책(프로젝트 가정)이며 단일 GA 결정(OI-010)과 충돌하지 않는다.</x:t>
  </x:si>
  <x:si>
    <x:t xml:space="preserve">FGC-FUN-078, FGC-FUN-079, FGC-DAR-012</x:t>
  </x:si>
  <x:si>
    <x:t xml:space="preserve">OI-025</x:t>
  </x:si>
  <x:si>
    <x:t xml:space="preserve">비교설명용 수수료 등급·순위의 정본은 무엇인가?</x:t>
  </x:si>
  <x:si>
    <x:t xml:space="preserve">Domain</x:t>
  </x:si>
  <x:si>
    <x:t xml:space="preserve">권고: 보험협회가 산출해 GA에 제공한 자료를 정본으로 한다(2차 FAQ Q20). 등급과 순위를 구분하고, 순위는 협회 자료의 비교 집합·기준일과 함께 보존해 다른 부분 집합에 옮겨 쓰지 않는다. FGC 자체 계산(유사상품군 평균 대비 비율로 5단계, SRC-002)은 검증용으로만 표시한다. 협회 시스템 연계 방식·파일 명세는 근거 없음 — 확인 필요이므로 2차에서는 받은 파일을 AI 문서 입력으로 적재한다(FUN-066·078).</x:t>
  </x:si>
  <x:si>
    <x:t xml:space="preserve">FGC-FUN-078, FGC-FUN-079</x:t>
  </x:si>
  <x:si>
    <x:t xml:space="preserve">GA 설계사 수수료(실제 돈)의 생명주기 — As-Is / To-Be End-to-End 업무흐름 (v2.2 최종)</x:t>
  </x:si>
  <x:si>
    <x:t xml:space="preserve">작성 기준일 2026-07-31 · 원수사 데이터 수집·정규화는 범위 외(COR-010) · 1차=현행 예상스케줄+1200%+복식원장+대사+차익거래 · 2차=4년/7년 법정분급+계약체결비용+유지관리조건</x:t>
  </x:si>
  <x:si>
    <x:t xml:space="preserve">A. 액터(역할) 정의 — 현업 근무자 관점</x:t>
  </x:si>
  <x:si>
    <x:t xml:space="preserve">역할</x:t>
  </x:si>
  <x:si>
    <x:t xml:space="preserve">정의·규모 근거</x:t>
  </x:si>
  <x:si>
    <x:t xml:space="preserve">As-Is에서 하는 일</x:t>
  </x:si>
  <x:si>
    <x:t xml:space="preserve">To-Be(FGC)에서 하는 일</x:t>
  </x:si>
  <x:si>
    <x:t xml:space="preserve">설계사(FC)</x:t>
  </x:si>
  <x:si>
    <x:t xml:space="preserve">GA 소속 31.9만 명, 전체 설계사의 44.8% (SRC-004)</x:t>
  </x:si>
  <x:si>
    <x:t xml:space="preserve">모집·청약 후 명세 수령, 산출 근거 검증 불가, 환수 분쟁 당사자</x:t>
  </x:si>
  <x:si>
    <x:t xml:space="preserve">한도 게이지 사전 확인, 본인 명세·환수 계산근거 셀프 조회(FUN-060)</x:t>
  </x:si>
  <x:si>
    <x:t xml:space="preserve">지점장·지사장(사업가형 포함)</x:t>
  </x:si>
  <x:si>
    <x:t xml:space="preserve">영업조직장 — 설계사 등록 시 보수도 수수료 등 산입(SRC-015)</x:t>
  </x:si>
  <x:si>
    <x:t xml:space="preserve">지점 시책·지원비 별도 집행(우회 지급 리스크), 이의제기 1차 대응</x:t>
  </x:si>
  <x:si>
    <x:t xml:space="preserve">시책 입력 즉시 계약별 한도 판정, 계산서 기반 이의 회신</x:t>
  </x:si>
  <x:si>
    <x:t xml:space="preserve">계약관리 전담(총무·본사 지원)</x:t>
  </x:si>
  <x:si>
    <x:t xml:space="preserve">업체별 1~3명 운영 (SRC-011 지넥슨 GA DATA HUB)</x:t>
  </x:si>
  <x:si>
    <x:t xml:space="preserve">원수사 포털 순회 접속→다운로드→엑셀 편집→ERP 업로드</x:t>
  </x:si>
  <x:si>
    <x:t xml:space="preserve">정규화된 합성 시드 확인, 계약·지급 건 수기 등록, 검증결과 확인 — CSV 업로드·컬럼매핑 없음</x:t>
  </x:si>
  <x:si>
    <x:t xml:space="preserve">GA 본사 정산담당자</x:t>
  </x:si>
  <x:si>
    <x:t xml:space="preserve">수수료팀·경영지원(스텝)</x:t>
  </x:si>
  <x:si>
    <x:t xml:space="preserve">수입 취합·지급 계산·1,200% 사후 점검·명세 배포·환수 수기 계산</x:t>
  </x:si>
  <x:si>
    <x:t xml:space="preserve">1차: 정규화 정책 조회→현행 예상 수입·지급 스케줄→1,200%·원장·대사·차익거래 통합검증. 2차: 정책 CRUD·4년/7년 분급·계약상태·유지관리·환수.</x:t>
  </x:si>
  <x:si>
    <x:t xml:space="preserve">경영지원·준법감시(조회전용)</x:t>
  </x:si>
  <x:si>
    <x:t xml:space="preserve">내부통제 — 대형 GA 29.3% 취약 등급(SRC-004)</x:t>
  </x:si>
  <x:si>
    <x:t xml:space="preserve">비용 산입 건별 해석, 표본 점검, 소명자료 수작업</x:t>
  </x:si>
  <x:si>
    <x:t xml:space="preserve">산입·제외 정책화(FUN-013), 대시보드 전수 모니터링, 감사로그 100%(FUN-057·061)</x:t>
  </x:si>
  <x:si>
    <x:t xml:space="preserve">시스템관리자</x:t>
  </x:si>
  <x:si>
    <x:t xml:space="preserve">계정·권한·배치 운영</x:t>
  </x:si>
  <x:si>
    <x:t xml:space="preserve">ERP 업로드 화면·권한 관리</x:t>
  </x:si>
  <x:si>
    <x:t xml:space="preserve">역할 기반 접근제어·배치 재시작·관측(FUN-001~004·045)</x:t>
  </x:si>
  <x:si>
    <x:t xml:space="preserve">보험회사(원수사)</x:t>
  </x:si>
  <x:si>
    <x:t xml:space="preserve">생·손보 제휴 25개사+ 규모</x:t>
  </x:si>
  <x:si>
    <x:t xml:space="preserve">GA포털에 회사별 상이 양식 파일 게시, 환수·정정 통보</x:t>
  </x:si>
  <x:si>
    <x:t xml:space="preserve">원수사 데이터는 FGC 표준 구조로 이미 DB에 적재된 것으로 가정한다. FGC는 수집·다운로드·매핑을 수행하지 않는다.</x:t>
  </x:si>
  <x:si>
    <x:t xml:space="preserve">FGC 시스템(통제 계층)</x:t>
  </x:si>
  <x:si>
    <x:t xml:space="preserve">기존 GA ERP를 교체하지 않고 사이에서 검증 — 송금 안 함(COR-001·002)</x:t>
  </x:si>
  <x:si>
    <x:t xml:space="preserve">(해당 없음)</x:t>
  </x:si>
  <x:si>
    <x:t xml:space="preserve">1차: 계약·정책→현행 원수사→GA/GA→설계사 예상스케줄→1,200%→복식원장→예상/실제 대사→차익거래 후보→예외. 2차: 4년/7년 분급·계약체결비용·유지관리·환수.</x:t>
  </x:si>
  <x:si>
    <x:t xml:space="preserve">B. 수수료 생명주기 12단계 — As-Is ↔ To-Be 매핑</x:t>
  </x:si>
  <x:si>
    <x:t xml:space="preserve">생명주기 단계</x:t>
  </x:si>
  <x:si>
    <x:t xml:space="preserve">As-Is (2026.7 현재)</x:t>
  </x:si>
  <x:si>
    <x:t xml:space="preserve">To-Be (FGC)</x:t>
  </x:si>
  <x:si>
    <x:t xml:space="preserve">근거</x:t>
  </x:si>
  <x:si>
    <x:t xml:space="preserve">1</x:t>
  </x:si>
  <x:si>
    <x:t xml:space="preserve">원천 데이터 수집</x:t>
  </x:si>
  <x:si>
    <x:t xml:space="preserve">원수사 포털 순회 접속·다운로드·엑셀 편집·업로드(전담 1~3명)</x:t>
  </x:si>
  <x:si>
    <x:t xml:space="preserve">(범위 외 전제) 정규화 데이터가 DB에 이미 적재됨 — 시드로 공급(COR-010·DAR-011)</x:t>
  </x:si>
  <x:si>
    <x:t xml:space="preserve">COR-010, DAR-011</x:t>
  </x:si>
  <x:si>
    <x:t xml:space="preserve">SRC-011·018</x:t>
  </x:si>
  <x:si>
    <x:t xml:space="preserve">보험사별 보험료 컬럼 상이(월/회차/영수) 매핑 필수 / 구 FUN-019~024 삭제</x:t>
  </x:si>
  <x:si>
    <x:t xml:space="preserve">2</x:t>
  </x:si>
  <x:si>
    <x:t xml:space="preserve">표준화·코드 매핑</x:t>
  </x:si>
  <x:si>
    <x:t xml:space="preserve">보험사별 컬럼·코드 수작업 대조</x:t>
  </x:si>
  <x:si>
    <x:t xml:space="preserve">(범위 외 전제) 표준화 완료 상태로 적재됨(COR-010)</x:t>
  </x:si>
  <x:si>
    <x:t xml:space="preserve">COR-010</x:t>
  </x:si>
  <x:si>
    <x:t xml:space="preserve">SRC-009·018</x:t>
  </x:si>
  <x:si>
    <x:t xml:space="preserve">3</x:t>
  </x:si>
  <x:si>
    <x:t xml:space="preserve">계약·상태 관리</x:t>
  </x:si>
  <x:si>
    <x:t xml:space="preserve">보유계약 스냅샷과 ERP 상태 불일치 수기 보정</x:t>
  </x:si>
  <x:si>
    <x:t xml:space="preserve">[2차] 상태머신(청약·정상·실효·부활·해지·만기)+이벤트 이력. 1차는 계약의 현재 상태값만 수기·시드로 보유한다.</x:t>
  </x:si>
  <x:si>
    <x:t xml:space="preserve">FUN-025~029 (2차)</x:t>
  </x:si>
  <x:si>
    <x:t xml:space="preserve">SRC-004·005</x:t>
  </x:si>
  <x:si>
    <x:t xml:space="preserve">상태 전이가 곧 돈의 이벤트</x:t>
  </x:si>
  <x:si>
    <x:t xml:space="preserve">4</x:t>
  </x:si>
  <x:si>
    <x:t xml:space="preserve">1,200% 한도 산정</x:t>
  </x:si>
  <x:si>
    <x:t xml:space="preserve">평균·총량 관리 관행, 월말 사후 점검</x:t>
  </x:si>
  <x:si>
    <x:t xml:space="preserve">계약별 한도(월납×12) 자동 산정 + 계약에 귀속된 산입 지급액 합산. 정착지원금·공통비 등은 귀속·근거·판단상태를 함께 관리한다.</x:t>
  </x:si>
  <x:si>
    <x:t xml:space="preserve">FUN-030~032, FUN-065</x:t>
  </x:si>
  <x:si>
    <x:t xml:space="preserve">REG-08~10, SRC-015·016</x:t>
  </x:si>
  <x:si>
    <x:t xml:space="preserve">계약 1건 단위 판단이 규제 기준</x:t>
  </x:si>
  <x:si>
    <x:t xml:space="preserve">5</x:t>
  </x:si>
  <x:si>
    <x:t xml:space="preserve">지급 전 검증</x:t>
  </x:si>
  <x:si>
    <x:t xml:space="preserve">초과를 지급 후 발견→사후 회수·소명</x:t>
  </x:si>
  <x:si>
    <x:t xml:space="preserve">지급 건은 초안으로 저장할 수 있으나 확정 전 사전검증을 통과해야 한다. 초과는 관리자도 강제통과할 수 없고 정정·감액·취소·이연으로 해결한다.</x:t>
  </x:si>
  <x:si>
    <x:t xml:space="preserve">FUN-033~035</x:t>
  </x:si>
  <x:si>
    <x:t xml:space="preserve">SRC-025 Q1-1(일시 초과도 위반)</x:t>
  </x:si>
  <x:si>
    <x:t xml:space="preserve">6</x:t>
  </x:si>
  <x:si>
    <x:t xml:space="preserve">분급 스케줄</x:t>
  </x:si>
  <x:si>
    <x:t xml:space="preserve">보험사·GA별 지급규정에 따라 기본수수료·유지성 수수료·시책 등을 여러 회차에 나누어 계산·지급하는 회사별 스케줄이 이미 존재</x:t>
  </x:si>
  <x:si>
    <x:t xml:space="preserve">1차: 정규화된 현행 정책으로 원수사→GA 예상 수입 스케줄과 GA→설계사 예상 지급 스케줄 생성. 2차: 같은 엔진에 2027 4년·2029 7년 법정 분급 룰셋 추가</x:t>
  </x:si>
  <x:si>
    <x:t xml:space="preserve">FUN-011, FUN-036~040(1차) · FUN-014, FUN-037~038, FUN-062, FUN-064(2차)</x:t>
  </x:si>
  <x:si>
    <x:t xml:space="preserve">특허·실무 지급방식 자료, REG-03~05</x:t>
  </x:si>
  <x:si>
    <x:t xml:space="preserve">기존 회사별 분할지급 스케줄과 2027년 법정 분급은 구분</x:t>
  </x:si>
  <x:si>
    <x:t xml:space="preserve">7</x:t>
  </x:si>
  <x:si>
    <x:t xml:space="preserve">월 규제·정산 통합검증</x:t>
  </x:si>
  <x:si>
    <x:t xml:space="preserve">월말에 회사별 엑셀을 취합해 수수료 계산·한도·명세 차이를 각각 수기 점검</x:t>
  </x:si>
  <x:si>
    <x:t xml:space="preserve">1차 수동 실행: 스케줄 재검증→계약별 1,200%→복식원장 균형→예상/실제 대사→차익거래 후보→예외·집계→결과 잠금</x:t>
  </x:si>
  <x:si>
    <x:t xml:space="preserve">FUN-041~044, FUN-046~053, FUN-063</x:t>
  </x:si>
  <x:si>
    <x:t xml:space="preserve">2026.3·2026.7 현행 규제 + FGC 내부통제</x:t>
  </x:si>
  <x:si>
    <x:t xml:space="preserve">실제 송금·법정 회계마감은 하지 않음</x:t>
  </x:si>
  <x:si>
    <x:t xml:space="preserve">8</x:t>
  </x:si>
  <x:si>
    <x:t xml:space="preserve">원장·이력</x:t>
  </x:si>
  <x:si>
    <x:t xml:space="preserve">마감 후에도 시트 직접 수정 — 시점 재현 불가</x:t>
  </x:si>
  <x:si>
    <x:t xml:space="preserve">1차: 예상 스케줄·실제 명세·확정 지급 건을 차변=대변인 내부 검증용 복식원장에 기표하고 역분개로 정정. 2차: 환수·상계·승인 흐름 확장</x:t>
  </x:si>
  <x:si>
    <x:t xml:space="preserve">FUN-046·047 (1차), FUN-054~056 (2차)</x:t>
  </x:si>
  <x:si>
    <x:t xml:space="preserve">SAR-003</x:t>
  </x:si>
  <x:si>
    <x:t xml:space="preserve">공식 회계장부가 아닌 FGC 검증용 보조원장</x:t>
  </x:si>
  <x:si>
    <x:t xml:space="preserve">9</x:t>
  </x:si>
  <x:si>
    <x:t xml:space="preserve">대사(검증)</x:t>
  </x:si>
  <x:si>
    <x:t xml:space="preserve">표본 수기 대조, 미매칭 개별 추적</x:t>
  </x:si>
  <x:si>
    <x:t xml:space="preserve">1차: 원수사→GA 예상 수입↔실제 지급명세, GA→설계사 예상 지급↔확정 지급 건을 전수 대사하고 불일치 유형·예외 생성. 1차부터 MonthlyValidationJob의 reconciliationStep으로 실행(SRC-027 D-02). 2차: 별도 ReconciliationJob·성능·자동화 고도화</x:t>
  </x:si>
  <x:si>
    <x:t xml:space="preserve">FUN-048~053 (1차), FUN-045 (2차)</x:t>
  </x:si>
  <x:si>
    <x:t xml:space="preserve">SRC-018 §28</x:t>
  </x:si>
  <x:si>
    <x:t xml:space="preserve">파일 업로드 없이 정규화 DB 데이터 사용</x:t>
  </x:si>
  <x:si>
    <x:t xml:space="preserve">10</x:t>
  </x:si>
  <x:si>
    <x:t xml:space="preserve">환수율 표 수기 적용, 근거 미제시로 분쟁 1순위</x:t>
  </x:si>
  <x:si>
    <x:t xml:space="preserve">[2차] 계약상태 이벤트에 따라 미래 유지관리 회차 보류·재개, 환수 검토·계산·통지·상계</x:t>
  </x:si>
  <x:si>
    <x:t xml:space="preserve">FUN-028(1차 보류) · FUN-054~056(2차)</x:t>
  </x:si>
  <x:si>
    <x:t xml:space="preserve">REG-13·14, SRC-016·017</x:t>
  </x:si>
  <x:si>
    <x:t xml:space="preserve">분급분은 유지 시에만 지급이라 미지급으로 해소(REG-13)</x:t>
  </x:si>
  <x:si>
    <x:t xml:space="preserve">11</x:t>
  </x:si>
  <x:si>
    <x:t xml:space="preserve">마감·정정</x:t>
  </x:si>
  <x:si>
    <x:t xml:space="preserve">마감 개념 느슨 — 소급 수정 흔적 없음</x:t>
  </x:si>
  <x:si>
    <x:t xml:space="preserve">마감 상태 관리, 마감 후 무단 변경 차단, 정정분개 전용 경로</x:t>
  </x:si>
  <x:si>
    <x:t xml:space="preserve">FUN-044·047, SAR-003</x:t>
  </x:si>
  <x:si>
    <x:t xml:space="preserve">SRC-018 §26·27</x:t>
  </x:si>
  <x:si>
    <x:t xml:space="preserve">12</x:t>
  </x:si>
  <x:si>
    <x:t xml:space="preserve">감사·공시 대응</x:t>
  </x:si>
  <x:si>
    <x:t xml:space="preserve">소명자료를 흩어진 시트에서 재구성</x:t>
  </x:si>
  <x:si>
    <x:t xml:space="preserve">1차는 스케줄·원장·대사·차익거래를 포함한 검증 실행 결과와 정책버전을 확정·잠금한다. 2차는 법정 분급·환수까지 동일 추적구조를 확장한다.</x:t>
  </x:si>
  <x:si>
    <x:t xml:space="preserve">FUN-039, FUN-044, FUN-046~053, FUN-061, FUN-063</x:t>
  </x:si>
  <x:si>
    <x:t xml:space="preserve">REG-17·18</x:t>
  </x:si>
  <x:si>
    <x:t xml:space="preserve">C. 월 규제·정산 통합검증 사이클 요약</x:t>
  </x:si>
  <x:si>
    <x:t xml:space="preserve">①</x:t>
  </x:si>
  <x:si>
    <x:t xml:space="preserve">②</x:t>
  </x:si>
  <x:si>
    <x:t xml:space="preserve">③</x:t>
  </x:si>
  <x:si>
    <x:t xml:space="preserve">④</x:t>
  </x:si>
  <x:si>
    <x:t xml:space="preserve">⑤</x:t>
  </x:si>
  <x:si>
    <x:t xml:space="preserve">⑥</x:t>
  </x:si>
  <x:si>
    <x:t xml:space="preserve">As-Is (D-Day)</x:t>
  </x:si>
  <x:si>
    <x:t xml:space="preserve">D+1~3 원천 데이터 확보(포털 다운로드)</x:t>
  </x:si>
  <x:si>
    <x:t xml:space="preserve">D+3~7 취합·정제·ERP 업로드</x:t>
  </x:si>
  <x:si>
    <x:t xml:space="preserve">D+7~12 수수료 계산·1,200% 사후 점검</x:t>
  </x:si>
  <x:si>
    <x:t xml:space="preserve">D+12~15 확정·마감(직접 수정 가능)</x:t>
  </x:si>
  <x:si>
    <x:t xml:space="preserve">D+15~20 지급·명세 배포</x:t>
  </x:si>
  <x:si>
    <x:t xml:space="preserve">상시: 해지·환수·이의(수기)</x:t>
  </x:si>
  <x:si>
    <x:t xml:space="preserve">To-Be (FGC 파이프라인)</x:t>
  </x:si>
  <x:si>
    <x:t xml:space="preserve">❶ 정규화 정책·계약·명세·보험료/환급금 시드 확인</x:t>
  </x:si>
  <x:si>
    <x:t xml:space="preserve">❷ 현행 예상 수입·지급 스케줄 생성</x:t>
  </x:si>
  <x:si>
    <x:t xml:space="preserve">❸ 1,200% 사전게이트·차익거래 검증</x:t>
  </x:si>
  <x:si>
    <x:t xml:space="preserve">❹ 복식부기 검증원장 기표</x:t>
  </x:si>
  <x:si>
    <x:t xml:space="preserve">❺ 예상/실제 양방향 대사·예외처리</x:t>
  </x:si>
  <x:si>
    <x:t xml:space="preserve">❻ 월 통합검증 결과 확정·감사로그</x:t>
  </x:si>
  <x:si>
    <x:t xml:space="preserve">※ 범위 원칙: 1차의 '스케줄'은 예전부터 존재한 회사별 회차 지급계획이며, 2차의 '4년·7년 분급'은 2027·2029년 법정 분급 룰셋이다. 차익거래 금지기간 확대는 2026.3 시행, GA→설계사 1,200% 확대는 2026.7.1 시행이다. 복식원장·대사는 법이 직접 요구하는 회계시스템이 아니라 계산·돈흐름 정합성을 입증하기 위한 FGC 내부통제 기능이다.</x:t>
  </x:si>
  <x:si>
    <x:t xml:space="preserve">요구사항 정의</x:t>
  </x:si>
  <x:si>
    <x:t xml:space="preserve">세부내용·처리규칙</x:t>
  </x:si>
  <x:si>
    <x:t xml:space="preserve">산출물</x:t>
  </x:si>
  <x:si>
    <x:t xml:space="preserve">근거·외부의존성</x:t>
  </x:si>
  <x:si>
    <x:t xml:space="preserve">검증기준(인수조건)</x:t>
  </x:si>
  <x:si>
    <x:t xml:space="preserve">언제 실행되나 (시점·주기)</x:t>
  </x:si>
  <x:si>
    <x:t xml:space="preserve">어떻게 만드나 (구현 힌트)</x:t>
  </x:si>
  <x:si>
    <x:t xml:space="preserve">등록된 사용자가 아이디·비밀번호로 로그인하고, 안전하게 로그아웃할 수 있어야 한다.</x:t>
  </x:si>
  <x:si>
    <x:t xml:space="preserve">로그인 실패 시 이유를 안내한다. 로그아웃하면 세션(서버가 기억하는 접속 상태)을 즉시 지운다.</x:t>
  </x:si>
  <x:si>
    <x:t xml:space="preserve">화면정의서/API명세서/프로그램설계서</x:t>
  </x:si>
  <x:si>
    <x:t xml:space="preserve">정상 계정은 로그인되고 잘못된 계정은 거절되며 로그아웃 후 보호 URL 접근이 차단된다.</x:t>
  </x:si>
  <x:si>
    <x:t xml:space="preserve">사용자가 로그인 화면에서 버튼을 누를 때(실시간).</x:t>
  </x:si>
  <x:si>
    <x:t xml:space="preserve">Spring Security 폼 로그인 사용. 비밀번호는 BCrypt(원문을 되돌릴 수 없게 바꾸는 암호화)로 저장. Thymeleaf 화면 1장.</x:t>
  </x:si>
  <x:si>
    <x:t xml:space="preserve">사용자 역할에 따라 볼 수 있는 메뉴·화면·API(서버 기능을 부르는 주소)와 할 수 있는 일을 제한해야 한다.</x:t>
  </x:si>
  <x:si>
    <x:t xml:space="preserve">기본 역할 4종 — 시스템관리자, GA관리자, 정산담당자, 준법/감사(조회 전용).</x:t>
  </x:si>
  <x:si>
    <x:t xml:space="preserve">권한매트릭스/API명세서/보안설계서</x:t>
  </x:si>
  <x:si>
    <x:t xml:space="preserve">권한 없는 메뉴가 숨겨지고 직접 URL/API 호출도 403으로 차단된다.</x:t>
  </x:si>
  <x:si>
    <x:t xml:space="preserve">모든 화면·API 요청마다 자동 검사(실시간).</x:t>
  </x:si>
  <x:si>
    <x:t xml:space="preserve">Spring Security의 URL 접근 규칙으로 서버에서 차단하고, 화면은 sec:authorize로 메뉴를 숨긴다. 역할·권한은 DB 테이블로 관리.</x:t>
  </x:si>
  <x:si>
    <x:t xml:space="preserve">관리자가 사용자 계정을 조회·등록·수정·잠금·해제할 수 있어야 한다.</x:t>
  </x:si>
  <x:si>
    <x:t xml:space="preserve">계정 상태, 소속 GA·조직, 역할, 최근 로그인 일시를 관리한다.</x:t>
  </x:si>
  <x:si>
    <x:t xml:space="preserve">화면정의서/API명세서</x:t>
  </x:si>
  <x:si>
    <x:t xml:space="preserve">관리자가 계정을 생성하고 역할을 부여할 수 있으며 잠금 계정은 로그인할 수 없다.</x:t>
  </x:si>
  <x:si>
    <x:t xml:space="preserve">관리자가 계정 화면에서 조작할 때(실시간).</x:t>
  </x:si>
  <x:si>
    <x:t xml:space="preserve">2차 React 관리 화면 + JPA CRUD(등록·조회·수정·삭제). 잠긴 계정은 로그인 단계에서 거절.</x:t>
  </x:si>
  <x:si>
    <x:t xml:space="preserve">세션 만료 및 재인증</x:t>
  </x:si>
  <x:si>
    <x:t xml:space="preserve">오래 사용하지 않으면 자동으로 로그아웃되고, 중요한 작업 전에는 한 번 더 확인을 받아야 한다.</x:t>
  </x:si>
  <x:si>
    <x:t xml:space="preserve">만료 시간은 설정값으로 관리한다. 정책 확정·정산 마감 같은 중요 작업은 확인 절차를 거친다.</x:t>
  </x:si>
  <x:si>
    <x:t xml:space="preserve">보안설계서/테스트결과서</x:t>
  </x:si>
  <x:si>
    <x:t xml:space="preserve">설정된 미사용 시간이 지나면 세션이 만료되고 중요 작업은 확인 없이 완료되지 않는다.</x:t>
  </x:si>
  <x:si>
    <x:t xml:space="preserve">세션 만료는 서버가 자동 처리. 재확인은 중요 버튼 클릭 시(실시간).</x:t>
  </x:si>
  <x:si>
    <x:t xml:space="preserve">세션 만료 시간 설정 + 중요 작업 API에 확인 절차(재입력·확인창)를 요구.</x:t>
  </x:si>
  <x:si>
    <x:t xml:space="preserve">1차에서는 DB에 미리 적재된 GA(독립보험대리점)·본사·지사·지점 정보를 조회하고 다른 입력 화면에서 선택할 수 있어야 한다.</x:t>
  </x:si>
  <x:si>
    <x:t xml:space="preserve">조직코드, 이름, 상위조직, 적용기간, 사용 여부를 조회한다. 등록·수정·삭제 화면은 2차에서 구현한다.</x:t>
  </x:si>
  <x:si>
    <x:t xml:space="preserve">ERD/화면정의서/API명세서</x:t>
  </x:si>
  <x:si>
    <x:t xml:space="preserve">시드로 적재된 조직정보가 계약·설계사·지급 건 화면에서 정확히 조회·선택되고, 1차 화면에는 조직 등록·수정 기능이 노출되지 않는다.</x:t>
  </x:si>
  <x:si>
    <x:t xml:space="preserve">계약·설계사·지급 건 화면을 열 때 조회(실시간).</x:t>
  </x:si>
  <x:si>
    <x:t xml:space="preserve">1차: Flyway/SQL 시드 + 조회 API + 선택목록. 2차: JPA/React 등록·조회·수정·삭제(CRUD)로 확장.</x:t>
  </x:si>
  <x:si>
    <x:t xml:space="preserve">1차에서는 DB에 미리 적재된 원수사(보험상품을 만든 보험회사) 정보를 조회하고 선택할 수 있어야 한다.</x:t>
  </x:si>
  <x:si>
    <x:t xml:space="preserve">보험회사 코드, 이름, 생명보험/손해보험 구분, 사용 여부를 조회한다. 등록·수정·삭제는 2차 범위다.</x:t>
  </x:si>
  <x:si>
    <x:t xml:space="preserve">시드 보험회사 목록이 계약·상품 화면의 선택값과 일치하고 사용중지 회사는 신규 입력에서 선택되지 않는다.</x:t>
  </x:si>
  <x:si>
    <x:t xml:space="preserve">계약·상품 화면을 열 때 조회(실시간).</x:t>
  </x:si>
  <x:si>
    <x:t xml:space="preserve">1차: 조회 전용 MyBatis 쿼리와 선택목록. 2차: JPA/React CRUD로 확장.</x:t>
  </x:si>
  <x:si>
    <x:t xml:space="preserve">1차에서는 DB에 미리 적재된 보험회사별 상품정보를 조회하고 계약 등록 시 선택할 수 있어야 한다.</x:t>
  </x:si>
  <x:si>
    <x:t xml:space="preserve">보험사 상품코드, 내부 표준상품코드, 상품명, 상품군, 판매기간과 함께 상품 판매개시일, 기초서류 버전·작성/변경일, 판매채널, 적용 수수료체계 코드를 조회한다. 1차는 조회·선택만 하고 상품코드 매핑·버전 등록 화면은 2차 범위다.</x:t>
  </x:si>
  <x:si>
    <x:t xml:space="preserve">ERD/데이터사전/화면정의서</x:t>
  </x:si>
  <x:si>
    <x:t xml:space="preserve">SRC-004,SRC-009,SRC-014,REG-19,SRC-036</x:t>
  </x:si>
  <x:si>
    <x:t xml:space="preserve">계약일이 상품 판매기간 안에 있을 때만 선택할 수 있고, 상품 판매개시일·기초서류 버전·채널·적용 수수료체계가 계약에 연결된다. 같은 계약일이라도 상품버전이 다르면 다른 적용체계를 선택할 수 있다.</x:t>
  </x:si>
  <x:si>
    <x:t xml:space="preserve">계약 등록·조회 화면을 열 때 조회(실시간).</x:t>
  </x:si>
  <x:si>
    <x:t xml:space="preserve">1차: 조회 전용 MyBatis 쿼리와 선택목록. 2차: 상품버전·매핑 CRUD로 확장.</x:t>
  </x:si>
  <x:si>
    <x:t xml:space="preserve">v2.2.1: REG-19 적용체계 판정 필드 추가 · 2026-10-13: TM·방송채널 특례 삭제 — FGC는 대면 모집만(SRC-036)</x:t>
  </x:si>
  <x:si>
    <x:t xml:space="preserve">1차에서는 DB에 미리 적재된 설계사(FC: 보험을 모집하는 사람)와 소속·상태를 조회하고 선택할 수 있어야 한다.</x:t>
  </x:si>
  <x:si>
    <x:t xml:space="preserve">설계사코드, 이름, 소속조직, 위촉일(일을 맡긴 날), 해촉일(위촉계약이 끝난 날), 상태와 함께 최근 등록일, 최근 등록일 직전 3년 모집경력 여부, 경력조회 기준일, 신인활동지원 대상 여부·종료일을 조회한다. 인사·경력이력 등록·수정은 2차 범위다. 신인 판정은 등록예정일 직전 3년을 기준으로 ① 모집종사자 고유번호 미보유 → 신인 ② 이클린 경력조회 불가(경력 제공 미동의) → 신인 아님(동의 시 재판정) ③ 등록이력 없음 → 신인 ④ 등록이력이 있어도 모집이력 없음 → 신인, 모집이력 있음 → 신인 아님 순서로 판정하며 생·손보 교차이력을 포함한다(REG-21, SRC-025 Q5).</x:t>
  </x:si>
  <x:si>
    <x:t xml:space="preserve">계약·지급 건 등록 시 유효한 설계사만 선택되고, 신인활동지원 대상 판정에 최근 등록일과 직전 3년 모집경력 정보가 사용된다. 4단계 판정 순서별 샘플(고유번호 미보유·조회불가·등록이력 없음·모집이력 없음/있음)이 기대 결과와 일치한다.</x:t>
  </x:si>
  <x:si>
    <x:t xml:space="preserve">계약·지급 건 화면을 열 때 조회(실시간).</x:t>
  </x:si>
  <x:si>
    <x:t xml:space="preserve">1차: 조회 전용 MyBatis 쿼리와 선택목록. 2차: 인사·위촉·해촉 이력 CRUD로 확장.</x:t>
  </x:si>
  <x:si>
    <x:t xml:space="preserve">v2.2.1: REG-21 신인 판정 필드 추가 · 2026-10-11: 신인 판정 4단계(SRC-025 Q5) 반영</x:t>
  </x:si>
  <x:si>
    <x:t xml:space="preserve">1차에서는 DB에 미리 적재된 돈의 종류(모집수수료·시책·정착지원금 등)를 조회하고 지급 건 등록 시 선택할 수 있어야 한다.</x:t>
  </x:si>
  <x:si>
    <x:t xml:space="preserve">항목코드, 이름, 지급/차감 구분, 사용기간을 조회한다. 1,200% 산입 여부는 항목 자체의 고정값이 아니라 룰셋별 분류정책(FUN-013)에서 결정한다.</x:t>
  </x:si>
  <x:si>
    <x:t xml:space="preserve">용어사전/코드정의서/ERD</x:t>
  </x:si>
  <x:si>
    <x:t xml:space="preserve">모든 지급 건에 유효한 항목코드가 기록되고, 같은 항목도 룰셋 버전에 따라 산입·제외·판단대기로 분류할 수 있다.</x:t>
  </x:si>
  <x:si>
    <x:t xml:space="preserve">지급 건 화면을 열거나 검증할 때 조회(실시간).</x:t>
  </x:si>
  <x:si>
    <x:t xml:space="preserve">1차: 항목 시드 + 조회 API. 2차: 항목 CRUD. 산입판정은 cap_rule_item 매핑에서 관리해 item 마스터에 하드코딩하지 않는다.</x:t>
  </x:si>
  <x:si>
    <x:t xml:space="preserve">계약을 모집한 설계사와, 나중에 관리 담당이 된 설계사의 변경 이력을 관리해야 한다.</x:t>
  </x:si>
  <x:si>
    <x:t xml:space="preserve">변경 전·후 설계사, 변경일, 사유, 유지관리수수료(계약이 살아있는 동안 다달이 주는 수수료)를 누가 받는지 기준을 기록한다.</x:t>
  </x:si>
  <x:si>
    <x:t xml:space="preserve">ERD/업무규칙서/화면정의서</x:t>
  </x:si>
  <x:si>
    <x:t xml:space="preserve">담당자 변경 전후의 지급 귀속이 정책에 따라 구분되고 과거 지급이력은 변경되지 않는다.</x:t>
  </x:si>
  <x:si>
    <x:t xml:space="preserve">담당 변경 이벤트가 생길 때(실시간).</x:t>
  </x:si>
  <x:si>
    <x:t xml:space="preserve">2차 JPA 이력 테이블. 과거 지급이력은 절대 바꾸지 않고, 변경일 이후 회차만 새 담당자에게 귀속시킨다.</x:t>
  </x:si>
  <x:si>
    <x:t xml:space="preserve">DB에 미리 정규화되어 적재된 원수사 수수료율표·지급방식·시책과 GA 내부 지급규정을 기준일에 맞는 정책버전으로 조회·선택하고 예상 스케줄 계산에 적용해야 한다.</x:t>
  </x:si>
  <x:si>
    <x:t xml:space="preserve">1차는 정책 등록 화면을 만들지 않고 조회·적용만 한다. 정책은 원수사→GA 예상 수입용과 GA→설계사 예상 지급용을 구분하며 보험회사, 상품, 계약일, 설계사 직급·조직, 수수료 항목, 회차, 기준금액, 정액/요율, 지급조건, 적용기간, 정책버전을 가진다. 지급기준 변경은 기존 정책을 덮어쓰지 않고 새 버전으로 생성하며 유효기간·승인근거·기초서류 버전을 보존한다. 파일 업로드·컬럼 매핑은 하지 않는다(COR-010).</x:t>
  </x:si>
  <x:si>
    <x:t xml:space="preserve">업무규칙서/정책데이터사전/ERD/API명세서</x:t>
  </x:si>
  <x:si>
    <x:t xml:space="preserve">동일 계약에 대해 기준일과 대상조건에 맞는 활성 정책 1건이 선택되고, 과거 계약·검증은 당시 정책버전을 계속 참조한다. 정책이 없거나 중복 활성된 경우 스케줄 생성을 막고 REVIEW_REQUIRED로 표시한다.</x:t>
  </x:si>
  <x:si>
    <x:t xml:space="preserve">계약 등록·확정 또는 예상 스케줄 생성·재실행 시 자동 조회(실시간).</x:t>
  </x:si>
  <x:si>
    <x:t xml:space="preserve">1차는 MyBatis 조회 전용 PolicyRepository와 PolicyResolver(적용 정책 선택기)를 사용한다. 금액·요율은 BigDecimal로 계산한다. 2차에는 FUN-017의 JPA/React 정책 관리로 확장한다.</x:t>
  </x:si>
  <x:si>
    <x:t xml:space="preserve">보험회사→GA와 GA→설계사 1,200% 검증에 쓰는 적용대상, 한도배수, 산입·제외 기준을 지급단계·적용일·버전별로 관리해야 한다.</x:t>
  </x:si>
  <x:si>
    <x:t xml:space="preserve">룰셋에 적용 시작·종료일, 버전, 계약일 범위, 한도배수(기본 12), 지급단계(INSURER_TO_GA/GA_TO_FC), 적용상품·채널, 제외항목 정책과 상태를 저장한다. 두 지급단계 게이지는 분리하며 준법경영비 3% 공제(제4-32조⑭)는 보험회사→GA 게이지에만 적용하며(보험대리점 준용 범위 제4-11조④에 ⑭ 없음) 시행은 2027-01-01이다(SRC-022 부칙 제1조①. TM·방송채널 2028-01-01 특례는 FGC가 대면 모집만 하므로 해당 없음, SRC-036). 과거 검증결과는 당시 룰셋 버전을 계속 참조하고 지급기준 변경은 신규 버전으로 생성한다. 준법경영비는 수수료등에서 "제외"하는 금액이므로 산입금액에서 빼는 방향이며 한도를 줄이지 않는다(실질 한도 1,203%). 예외: 지급단계별 법정 시행 계약일(보험회사→GA 2021-01-01; GA→설계사 2026-07-01)은 룰셋 활성·누락·계약일 범위와 독립적인 버전 있는 시행 기준으로 관리한다(SRC-025 Q1-1, REG-08·09·19, #482). 관리자 룰셋 변경으로 법정 시행일을 변경하지 않는다. 그 밖의 적용상품·한도배수·산입·제외 정책은 룰셋 데이터로 관리한다.</x:t>
  </x:si>
  <x:si>
    <x:t xml:space="preserve">업무규칙서/ERD/감사설계서</x:t>
  </x:si>
  <x:si>
    <x:t xml:space="preserve">SRC-001,SRC-002,SRC-003,SRC-014,REG-08~11,REG-19,REG-22,SRC-022,SRC-036</x:t>
  </x:si>
  <x:si>
    <x:t xml:space="preserve">같은 계약이라도 보험회사→GA와 GA→설계사 게이지가 독립 계산되고, GA→설계사에는 준법경영비 3% 공제가 적용되지 않는다. 2026-07-01 전·후 샘플과 과거버전 재조회 결과가 기대값과 일치한다. 예: 월납 100,000원·증빙된 준법경영비 3,000원이면 보험회사→GA 초년도 수수료등은 1,203,000원까지 허용된다. 룰셋 삭제·비활성·계약일 범위 변경에도 법정 시행일은 유지되고 시행 이후 적용 룰셋이 없으면 CAP_004이다. 시행 전 결과는 NOT_APPLICABLE과 시행일·계약일·근거·시행 기준 버전을 스냅샷에 보존한다.</x:t>
  </x:si>
  <x:si>
    <x:t xml:space="preserve">관리자가 검증기준을 변경할 때(실시간). 지급 건 검증과 월 검증 실행 때 자동 선택한다.</x:t>
  </x:si>
  <x:si>
    <x:t xml:space="preserve">cap_rule_set에 effective_from/to, multiplier, target_scope, payment_stage, product/channel_scope, exclusion_policy_version을 저장한다. 기존 버전은 수정하지 않는다. CapApplicabilityPolicy의 CAP_APPLICABILITY_V1은 법정 시행 기준의 코드 버전이며 DB policy_version ID가 아니다. 법정 시행 기준이 변경되면 승인된 규제 근거와 명세 및 코드 버전을 함께 갱신한다. 과거 판정은 저장된 시행 기준 스냅샷과 당시 적용 룰셋 참조로 재현하며 덮어쓰지 않는다.</x:t>
  </x:si>
  <x:si>
    <x:t xml:space="preserve">v2.2.1: 지급단계별 1,200% 게이지·REG-19/22 반영 · 2026-10-11: 준법경영비 3% 시행일·준용 범위 명시(SRC-022) · 2026-10-11: 준법경영비 공제 방향(산입금액 제외 = 실질 한도 확대) 명시 · 2026-10-13: TM·방송채널 특례 삭제 — FGC는 대면 모집만(SRC-036) · 2026-10-14: #482 법정 시행 계약일의 독립 기준 예외 및 스냅샷 추적 명시(사용자 확인)</x:t>
  </x:si>
  <x:si>
    <x:t xml:space="preserve">1,200% 한도에 넣을 금액과 제외할 금액을 항목명만이 아니라 지급 목적·조건·계약 귀속과 근거에 따라 설정해야 한다.</x:t>
  </x:si>
  <x:si>
    <x:t xml:space="preserve">보험회사→GA와 GA→설계사 게이지를 구분한다. 모집종사자에게 직·간접 귀속되는 수수료·시책·정착지원금·공통비 등은 명칭이 아니라 지급목적·수령인·모집실적 연계·계약귀속을 기준으로 분류한다. 제4-32조제7항 제외항목 중 FGC에 생기는 것은 제3호 신인활동지원비뿐이며 요건과 증빙을 충족한 금액만 제외할 수 있다(제1호 음성녹음비·제2호 방송비는 TM·방송 채널 전용이라 해당 없음, SRC-036). 준법경영비 3% 공제는 보험회사→GA 게이지에만 적용하고 GA→설계사에는 적용하지 않으며, 2027-01-01부터 적용한다(SRC-022 부칙 제1조①, SRC-036). 경력설계사 정착지원금은 REG-20의 월별 계약귀속 규칙을 적용하며 일반 공통비는 REG-06A~06C의 회사별 합리적 안분정책을 참조한다.</x:t>
  </x:si>
  <x:si>
    <x:t xml:space="preserve">업무규칙서/정책설계서</x:t>
  </x:si>
  <x:si>
    <x:t xml:space="preserve">SRC-001,SRC-002,SRC-003,SRC-014,REG-06A~06C,REG-09~11,REG-20~22,SRC-022,SRC-036</x:t>
  </x:si>
  <x:si>
    <x:t xml:space="preserve">두 게이지의 포함·제외 결과가 분리되고, 준법경영비가 GA→설계사에서 공제되지 않는다. 제7항 제외항목은 증빙 없이는 제외되지 않으며 정착지원금·공통비 귀속근거가 없으면 지급확정이 차단되고 REVIEW_REQUIRED가 생성된다.</x:t>
  </x:si>
  <x:si>
    <x:t xml:space="preserve">관리자가 정책 화면에서 설정(실시간). 검증 계산(FUN-031·033)이 이 설정을 읽는다.</x:t>
  </x:si>
  <x:si>
    <x:t xml:space="preserve">item × cap_rule_set 매핑에 payment_stage, inclusion_status, exclusion_type, evidence_ref, attribution_method, allocation_policy_version을 저장한다.</x:t>
  </x:si>
  <x:si>
    <x:t xml:space="preserve">v2.2.1: 공통비·정착지원금·준법경영비 규칙 정정 · 2026-10-11: 준법경영비 3% 시행일 명시(SRC-022) · 2026-10-13: TM·방송채널 특례 삭제 — FGC는 대면 모집만(SRC-036)</x:t>
  </x:si>
  <x:si>
    <x:t xml:space="preserve">4년·7년 분급과 유지관리·장기유지수수료 예정 스케줄의 회차·월 요율·생성 조건을 정책 버전으로 설정해야 한다.</x:t>
  </x:si>
  <x:si>
    <x:t xml:space="preserve">분급 룰셋은 계약 체결연도만으로 선택하지 않고 상품 판매개시일, 기초서류 버전·작성/변경일, 적용 수수료체계 코드를 사용한다(판매채널은 대면 하나라 선택 기준이 아님, SRC-036). 4년·7년의 회차 수, 월 요율, 매월 동일 금액 조건, 장기유지수수료, 계약체결비용 한도와 경과조치를 버전 데이터로 관리한다. 규정 문언만으로 자동 확정하기 어려운 경계사례는 REVIEW_REQUIRED로 처리한다.</x:t>
  </x:si>
  <x:si>
    <x:t xml:space="preserve">정책설계서/업무규칙서</x:t>
  </x:si>
  <x:si>
    <x:t xml:space="preserve">SRC-001,SRC-003,SRC-005,SRC-014,REG-01,REG-03,REG-04,REG-19,SRC-036</x:t>
  </x:si>
  <x:si>
    <x:t xml:space="preserve">계약일이 같더라도 상품 판매개시일·기초서류 버전이 다른 샘플에는 서로 다른 적용체계가 선택된다. 4년·7년 스케줄의 회차·월금액·총액이 룰셋과 일치하고 경계사례는 자동 확정되지 않는다.</x:t>
  </x:si>
  <x:si>
    <x:t xml:space="preserve">2차 정책 등록·승인 시 설정하고 예정 스케줄 생성과 별도 한도 검증에서 적용한다.</x:t>
  </x:si>
  <x:si>
    <x:t xml:space="preserve">ProductFeeRegimeResolver가 product_sales_start_date, product_doc_version, fee_regime_code를 조합해 룰셋을 선택한다.</x:t>
  </x:si>
  <x:si>
    <x:t xml:space="preserve">계약 상태(정상·실효·해지 등)에 따라 지급할지 말지 조건을 설정해야 한다.</x:t>
  </x:si>
  <x:si>
    <x:t xml:space="preserve">예: 유지 중인 달에만 지급(REG-03 유지관리수수료 원칙), 실효 시 보류, 부활 시 재개 조건.</x:t>
  </x:si>
  <x:si>
    <x:t xml:space="preserve">상태전이도/업무규칙서</x:t>
  </x:si>
  <x:si>
    <x:t xml:space="preserve">계약 상태가 실효 또는 해지로 변경되면 정책에 따라 미래 지급상태가 자동 변경된다.</x:t>
  </x:si>
  <x:si>
    <x:t xml:space="preserve">정책 설정은 실시간. 판정은 스케줄·정산 처리 때 자동.</x:t>
  </x:si>
  <x:si>
    <x:t xml:space="preserve">2차. 상태×지급여부 매핑 데이터 + 스케줄 상태 전환 로직에서 참조.</x:t>
  </x:si>
  <x:si>
    <x:t xml:space="preserve">정책에 규정·조문 등 근거를 연결하고 info 아이콘을 통해 근거와 상세 설명을 확인할 수 있어야 한다.</x:t>
  </x:si>
  <x:si>
    <x:t xml:space="preserve">REG-xx(규제조문표 ID)·SRC-xx(근거자료 ID)·URL과 함께 현행규정·개정고시·시행세칙·FAQ·회사정책의 상태 태그를 정책에 연결한다. 상품정책에는 상품위원회 승인일, 승인문서 참조, 기초서류 버전, 판매개시일, 판매보류·개정·중지 상태를 선택적으로 연결한다. FGC는 상품위원회의 법정 심의·의결 자체를 대체하지 않는다. 정책 화면의 info 아이콘을 누르면 해당 정책의 적용 이유, 연결된 규정·조문, 근거 상태와 원문 위치를 상세 설명으로 보여준다.</x:t>
  </x:si>
  <x:si>
    <x:t xml:space="preserve">정책근거목록/감사설계서</x:t>
  </x:si>
  <x:si>
    <x:t xml:space="preserve">정책버전에서 REG/SRC 근거·상태 태그·상품위원회 메타데이터를 조회할 수 있다. info 아이콘에서 해당 정책의 상세 설명과 연결된 근거를 확인할 수 있으며 법정 심의를 대체하지 않는 참조정보임을 표시한다.</x:t>
  </x:si>
  <x:si>
    <x:t xml:space="preserve">정책 등록·수정 시(실시간).</x:t>
  </x:si>
  <x:si>
    <x:t xml:space="preserve">기존 정책 근거 조회를 재사용하고 React info 버튼·설명 패널에 정책별 근거와 상세 설명을 표시한다.</x:t>
  </x:si>
  <x:si>
    <x:t xml:space="preserve">2차에서는 수수료 정책을 등록·수정하고 작성자와 승인자를 분리하여 승인된 정책만 계산에 사용되게 해야 한다.</x:t>
  </x:si>
  <x:si>
    <x:t xml:space="preserve">정책 초안→검토→승인→활성→종료 상태를 관리한다. 현행 회사별 지급정책, 4년·7년 법정 분급규칙, 계약체결비용 한도, 유지관리수수료 조건을 동일한 불변 버전관리 체계로 관리한다. 상품위원회 승인일·문서참조·기초서류 버전·판매개시일·판매보류/개정/중지 상태를 연결할 수 있으며 과거 적용 정책은 삭제하거나 덮어쓰지 않는다.</x:t>
  </x:si>
  <x:si>
    <x:t xml:space="preserve">업무흐름도/권한매트릭스/화면정의서/API명세서</x:t>
  </x:si>
  <x:si>
    <x:t xml:space="preserve">미승인 정책은 계산에 사용되지 않고 승인·활성·종료 이력과 변경 전후 값이 감사로그에 남는다. 상품위원회 메타데이터가 있는 정책은 승인근거와 기초서류 버전을 함께 조회할 수 있다.</x:t>
  </x:si>
  <x:si>
    <x:t xml:space="preserve">정책 신규·변경 요청 발생 시(실시간).</x:t>
  </x:si>
  <x:si>
    <x:t xml:space="preserve">2차 JPA 엔티티와 React 관리화면. 상태전이와 승인권한을 서버에서 검증하고 정책버전은 불변 레코드로 보존한다.</x:t>
  </x:si>
  <x:si>
    <x:t xml:space="preserve">정산 대상 보험계약을 화면에서 직접 등록·수정할 수 있어야 한다.</x:t>
  </x:si>
  <x:si>
    <x:t xml:space="preserve">계약번호, 보험회사, 상품, 월납보험료, 계약일, 설계사, 계약상태를 관리한다. 필수값·형식 검증을 통과해야 저장된다. 저장 트랜잭션에서 계약일 기준 초회 재무 스냅샷(contract_financial_snapshot) 1행을 함께 만든다. 누적 납입보험료는 초회보험료를 그대로 쓰고 해약환급금은 임의 산정하지 않고 NULL로 둔다. 업무키 (contract_id, as_of_date, surrender_value_type) 안에서 snapshot_version을 관리하고 최초 버전 1과 동일 내용 재요청은 멱등하다. 수기 합성 초회보험료 정정은 이전 행을 보존하여 직전 버전에 연결한 새 행을 추가하며 실제·적재·후속 월별 자료는 보호한다. 차익거래 조회는 동일 업무키의 최신 정정 버전을 사용하고 계산 근거에 스냅샷 ID·버전을 보관한다(#389, 운영정책서 제7조, IF-API-19). 근거분류는 운영정책서 제7조 예외조항의 PROJECT_ASSUMPTION이다.</x:t>
  </x:si>
  <x:si>
    <x:t xml:space="preserve">화면정의서/API명세서/ERD</x:t>
  </x:si>
  <x:si>
    <x:t xml:space="preserve">필수값과 형식 검증을 통과한 계약만 저장되고 계약번호 중복이 차단된다. 수기 등록한 계약이 등록 직후 차익거래 검증에서 자료부족(REVIEW_REQUIRED)으로 빠지지 않는다.</x:t>
  </x:si>
  <x:si>
    <x:t xml:space="preserve">새 계약이 생길 때(실시간). 대량 기초 데이터는 시드 스크립트로 미리 적재한다(DAR-011).</x:t>
  </x:si>
  <x:si>
    <x:t xml:space="preserve">입력 폼 + 서버 검증. 계약번호는 DB에도 UNIQUE 제약(같은 값 중복 저장 금지)을 건다. 저장 후 한도 게이지 화면으로 이어지면 데모 흐름이 좋다.</x:t>
  </x:si>
  <x:si>
    <x:t xml:space="preserve">계약 상태(청약→정상→실효→부활→해지→만기)를 정해진 규칙대로만 바꿔야 한다.</x:t>
  </x:si>
  <x:si>
    <x:t xml:space="preserve">허용된 상태 변화만 가능하다(예: 해지→정상 불가). 실효 = 보험료 미납으로 효력 정지, 부활 = 효력 회복. 변경일과 원인을 기록한다.</x:t>
  </x:si>
  <x:si>
    <x:t xml:space="preserve">상태전이도/도메인모델/단위테스트</x:t>
  </x:si>
  <x:si>
    <x:t xml:space="preserve">허용되지 않은 상태전이는 거절되고 모든 정상 전이는 이벤트 이력으로 남는다.</x:t>
  </x:si>
  <x:si>
    <x:t xml:space="preserve">상태 이벤트가 등록될 때(실시간).</x:t>
  </x:si>
  <x:si>
    <x:t xml:space="preserve">상태 전이표(어떤 상태에서 어디로 갈 수 있는지 표)를 자바 enum으로 정의하고, 서비스에서 검사 후 저장. 어기면 오류 메시지.</x:t>
  </x:si>
  <x:si>
    <x:t xml:space="preserve">실효·해지·부활처럼 돈에 영향을 주는 사건을 화면에서 등록해야 한다.</x:t>
  </x:si>
  <x:si>
    <x:t xml:space="preserve">사건 종류, 효력일(사건이 효력을 갖는 날), 접수일, 사유를 기록한다.</x:t>
  </x:si>
  <x:si>
    <x:t xml:space="preserve">화면정의서/인터페이스정의서</x:t>
  </x:si>
  <x:si>
    <x:t xml:space="preserve">이벤트 등록 후 계약 상태와 미래 지급 처리 결과가 일관되게 변경된다.</x:t>
  </x:si>
  <x:si>
    <x:t xml:space="preserve">담당자가 사건을 알게 됐을 때(실시간).</x:t>
  </x:si>
  <x:si>
    <x:t xml:space="preserve">이벤트 테이블 INSERT → 같은 트랜잭션(전부 성공 아니면 전부 취소되는 한 묶음 처리)에서 계약 상태 변경(FUN-025)과 지급 건 보류(FUN-028)까지 호출.</x:t>
  </x:si>
  <x:si>
    <x:t xml:space="preserve">계약별 상태 변경 전·후 값과 처리자를 시간순으로 볼 수 있어야 한다.</x:t>
  </x:si>
  <x:si>
    <x:t xml:space="preserve">계약별 변경 전·후 상태와 처리자를 표시하고 효력일·수신일·시스템 처리일을 구분한다. 전체 이력을 시간순으로 조회한다.</x:t>
  </x:si>
  <x:si>
    <x:t xml:space="preserve">화면정의서/감사설계서</x:t>
  </x:si>
  <x:si>
    <x:t xml:space="preserve">계약 상세에 전체 상태변경 이력이 누락 없이 시간순으로 표시되고, 변경 전·후 상태와 처리자를 확인할 수 있다. 효력일·수신일·시스템 처리일을 구분한다.</x:t>
  </x:si>
  <x:si>
    <x:t xml:space="preserve">상시 조회.</x:t>
  </x:si>
  <x:si>
    <x:t xml:space="preserve">기존 status-events 조회 API와 타임라인을 유지한다. 응답·화면의 처리자 필드를 보완하고 FUN-026에서 상태 변경 사건이 빠짐없이 기록되도록 연결한다.</x:t>
  </x:si>
  <x:si>
    <x:t xml:space="preserve">계약이 실효·해지·청약철회되면, 아직 확정되지 않은 지급 예정 건을 자동으로 보류(잠시 멈춤)해야 한다.</x:t>
  </x:si>
  <x:si>
    <x:t xml:space="preserve">이미 확정·지급된 건은 지우지 않는다. 조정·환수 검토는 2차(FUN-054)에서 다룬다.</x:t>
  </x:si>
  <x:si>
    <x:t xml:space="preserve">업무규칙서/프로그램설계서/테스트결과서</x:t>
  </x:si>
  <x:si>
    <x:t xml:space="preserve">계약 실효·해지 후 미확정 지급 건이 보류 상태로 바뀌고, 기존 확정·지급 이력은 그대로 유지된다.</x:t>
  </x:si>
  <x:si>
    <x:t xml:space="preserve">해지·실효 이벤트 등록 직후 자동(실시간).</x:t>
  </x:si>
  <x:si>
    <x:t xml:space="preserve">이벤트 저장 트랜잭션 안에서 해당 계약의 미확정 지급 건 상태를 HOLD로 UPDATE. 물리 삭제 금지.</x:t>
  </x:si>
  <x:si>
    <x:t xml:space="preserve">실효됐던 계약이 부활하면, 규칙과 날짜에 따라 지급을 다시 시작할지 판단해야 한다.</x:t>
  </x:si>
  <x:si>
    <x:t xml:space="preserve">보류된 회차를 무조건 되살리지 않는다. 정책 버전과 부활일 기준으로 재계산·승인한다.</x:t>
  </x:si>
  <x:si>
    <x:t xml:space="preserve">업무규칙서/테스트케이스</x:t>
  </x:si>
  <x:si>
    <x:t xml:space="preserve">부활 이벤트 적용 후 지급 재개 대상과 비대상이 정책에 따라 구분되고 근거가 표시된다.</x:t>
  </x:si>
  <x:si>
    <x:t xml:space="preserve">부활 이벤트 등록 시(실시간).</x:t>
  </x:si>
  <x:si>
    <x:t xml:space="preserve">2차. 상태별 지급조건(FUN-015)을 참조해 재개 대상/비대상 목록과 근거를 표시.</x:t>
  </x:si>
  <x:si>
    <x:t xml:space="preserve">적용 계약 1건의 초년도 모집수수료 한도를 계산해야 하며, 이 계산엔진은 2026년 현행 계약뿐 아니라 2027년 4년 분급·2029년 7년 분급 계약의 첫 1년에도 동일하게 적용되어야 한다.</x:t>
  </x:si>
  <x:si>
    <x:t xml:space="preserve">1차 데모 대상은 2026-07-01 이후 체결된 월납 보장성보험 합성계약으로 제한하고 기본식은 월납보험료×12로 한다. 표준해약공제액의 80% 이상을 공제하는 대상 상품은 상품·납입기간·채널별 예상 해약환급률표로 구한 12차월 예상 해약환급금을 산입금액(사용액) 쪽에 합산하고 적용 표 버전을 저장한다. 판정식은 "초년도 수수료등 + 12차월 예상 해약환급금 ≤ 월납보험료×12"이며 해약환급금을 한도에 더하지 않는다(SRC-022 제4-32조⑤, SRC-025 Q1-1). 2차에서는 4년·7년 분급 스케줄 중 계약차월 1~12에 귀속되는 산입 대상 금액을 같은 한도와 비교한다. 적용대상·기준기간·예외는 룰셋 데이터로 관리한다. 예외: 지급단계별 법정 시행 계약일(보험회사→GA 2021-01-01; GA→설계사 2026-07-01)은 룰셋 활성·누락·계약일 범위와 독립적인 버전 있는 시행 기준으로 관리한다(SRC-025 Q1-1, REG-08·09·19, #482). 관리자 룰셋 변경으로 법정 시행일을 변경하지 않는다. 그 밖의 적용상품·한도배수·산입·제외 정책은 룰셋 데이터로 관리한다.</x:t>
  </x:si>
  <x:si>
    <x:t xml:space="preserve">업무규칙서/계산명세서/단위테스트</x:t>
  </x:si>
  <x:si>
    <x:t xml:space="preserve">월납 100,000원 일반 샘플의 기본 한도는 1,200,000원이다. 80% 공제 대상 샘플은 올바른 예상 해약환급률표의 12차월 값과 버전이 판정에 반영되고, 2026·2027·2029 샘플 모두 같은 초년도 한도엔진으로 검증된다. 예: 월납 100,000원·12차월 예상 해약환급금 50,000원인 80% 공제 대상 계약은 초년도 수수료등이 1,150,000원을 넘으면 위반이다. 룰셋 삭제·비활성·계약일 범위 변경에도 법정 시행일은 유지되고 시행 이후 적용 룰셋이 없으면 CAP_004이다. 시행 전 결과는 NOT_APPLICABLE과 시행일·계약일·근거·시행 기준 버전을 스냅샷에 보존한다.</x:t>
  </x:si>
  <x:si>
    <x:t xml:space="preserve">계약 등록·수정 시 자동 계산(실시간). 월 1,200% 검증 실행에서도 같은 룰셋으로 재계산한다.</x:t>
  </x:si>
  <x:si>
    <x:t xml:space="preserve">CapCalculator는 기본 한도를 계산하고 ProductRefundRateResolver가 상품코드·납입기간·채널·기준일에 맞는 12차월 예상 환급액과 표 버전을 제공한다. 금액은 BigDecimal. CapApplicabilityPolicy의 CAP_APPLICABILITY_V1은 법정 시행 기준의 코드 버전이며 DB policy_version ID가 아니다. 법정 시행 기준이 변경되면 승인된 규제 근거와 명세 및 코드 버전을 함께 갱신한다. 과거 판정은 저장된 시행 기준 스냅샷과 당시 적용 룰셋 참조로 재현하며 덮어쓰지 않는다.</x:t>
  </x:si>
  <x:si>
    <x:t xml:space="preserve">v2.2.1: REG-23 예상 해약환급률표 연계 · 2026-10-11: 해약환급금 합산 위치를 산입금액 쪽으로 명시(한도 가산 아님, SRC-025 Q1-1) · 2026-10-14: #482 법정 시행 계약일의 독립 기준 예외 및 스냅샷 추적 명시(사용자 확인)</x:t>
  </x:si>
  <x:si>
    <x:t xml:space="preserve">개별 계약에 귀속된 한도 산입 지급액을 모두 합산해야 한다. 설계사·지점 합계는 모니터링 지표일 뿐 규제 판정 기준이 아니다.</x:t>
  </x:si>
  <x:si>
    <x:t xml:space="preserve">각 지급 건은 귀속 계약, 설계사, 산입여부, 귀속금액을 가져야 한다. 경력설계사 정착지원금은 지급월이 아니라 해당 설계사가 신계약을 모집한 월의 신계약에 월 단위로 귀속하고(8월 지급분 → 7월 모집 신계약), 지급 시기를 13차월 이후로 이연해도 귀속월은 변하지 않으며, 위촉 당월 무실적 선지급분은 최초 신계약 모집월의 신계약에 귀속한다. 일반 공통비는 사전 승인된 회사별 안분정책의 계약별 배부결과를 사용하며 정책버전·배부기준·배부 전후 총액과 근거를 저장한다.</x:t>
  </x:si>
  <x:si>
    <x:t xml:space="preserve">계산명세서/단위테스트</x:t>
  </x:si>
  <x:si>
    <x:t xml:space="preserve">동일 설계사의 여러 계약이 섞이지 않고 계약별 산입 합계가 계산된다. 정착지원금의 모집월 귀속·무실적 이월 규칙이 재현되고, 지급을 13차월 이후로 이연한 지급 건도 모집월 기준으로 귀속되어 초년도 게이지에 산입되며, 일반 공통비는 배부정책 버전과 배부 전후 총액이 없으면 REVIEW_REQUIRED로 처리된다. (13차월 이후 이연분의 1,200% 산입은 SRC-029 등 2차 자료·TF 보도 기준이다. 제3차 FAQ 원문 확보 시 정책버전으로 재확인한다.)</x:t>
  </x:si>
  <x:si>
    <x:t xml:space="preserve">지급 건 등록·수정·확정 시(실시간) + 월 1,200% 검증 실행 시 전체 재합산(일괄처리).</x:t>
  </x:si>
  <x:si>
    <x:t xml:space="preserve">contract_id+agent_id+first_year_window+payment_stage로 합산한다. allocation_id, allocation_policy_version, attribution_month, allocated_amount, evidence_ref를 저장한다.</x:t>
  </x:si>
  <x:si>
    <x:t xml:space="preserve">v2.2.1: REG-20 정착지원금 귀속·REG-06C 공통비 배부 반영 / 2026-08-12: REG-20 귀속 기준월을 지급월→모집월로 교정 (SRC-025 Q7-1 원문 대조) · 2026-10-11: 13차월 이연분 산입의 근거 등급(2차 자료) 명시</x:t>
  </x:si>
  <x:si>
    <x:t xml:space="preserve">계약별 한도, 산입 사용액, 잔여액, 사용률과 항목별 근거를 조회해야 한다.</x:t>
  </x:si>
  <x:si>
    <x:t xml:space="preserve">1,200% 예산 사용률((산입 + 12차월 예상 해약환급금 − 준법경영비 공제) ÷ 월납×12)이 90% 이상이면 주의, 사용률(산입 ÷ 한도) 100% 초과는 위반으로 표시한다. 해약환급금 합산 계약은 화면 사용률 90%보다 앞에서 주의가 켜진다(운영정책서 제30조). 설계사·조직별 화면은 계약별 결과를 묶어 보여주는 모니터링 화면이다.</x:t>
  </x:si>
  <x:si>
    <x:t xml:space="preserve">계약 상세의 사용액이 항목별 산입 합계와 일치하고, 설계사 집계에서 계약별 초과 건이 숨겨지지 않는다.</x:t>
  </x:si>
  <x:si>
    <x:t xml:space="preserve">상시 조회(대시보드·상세 화면).</x:t>
  </x:si>
  <x:si>
    <x:t xml:space="preserve">조회 쿼리 + 게이지 바(진행률 막대). 상세 화면에 항목별 내역 표.</x:t>
  </x:si>
  <x:si>
    <x:t xml:space="preserve">v2.1: 계약별 규제판정 기준 명확화 / 2026-10-12: 주의 기준을 1,200% 예산 90%로(#490)</x:t>
  </x:si>
  <x:si>
    <x:t xml:space="preserve">지급 건을 확정하기 전에, 이 돈을 주면 한도를 넘는지 미리 검사하고 넘으면 막아야 한다.</x:t>
  </x:si>
  <x:si>
    <x:t xml:space="preserve">지급 건 확정 또는 스케줄 확정 전에 계약차월 1~12의 산입합계를 검사한다. 초과 시 확정 상태 전환을 차단하고 예외 건(FUN-034)을 만든다. 관리자가 단순 승인으로 규제 위반을 강제 통과시킬 수 없다. 2027·2029 룰셋에서도 4년·7년 전체 스케줄과 별도로 첫 1년 1,200% 게이트를 반드시 통과해야 한다.</x:t>
  </x:si>
  <x:si>
    <x:t xml:space="preserve">업무규칙서/API명세서/테스트결과서</x:t>
  </x:si>
  <x:si>
    <x:t xml:space="preserve">2026 현행 스케줄과 2027·2029 분급 스케줄 모두 초년도 한도 초과 건은 DRAFT/REJECTED로 보존되지만 CONFIRMED로 전환되지 않는다. 관리자도 근거 없는 강제확정을 할 수 없다.</x:t>
  </x:si>
  <x:si>
    <x:t xml:space="preserve">① 지급 건 확정 버튼 클릭 시(실시간) ② 월 1,200% 검증 실행에서 일괄 재검증.</x:t>
  </x:si>
  <x:si>
    <x:t xml:space="preserve">저장과 확정을 분리한다. 초안 저장은 허용하고 confirm() 트랜잭션에서 검증 후 상태전환을 막는다. 예외는 같은 트랜잭션에서 생성한다.</x:t>
  </x:si>
  <x:si>
    <x:t xml:space="preserve">한도를 넘었거나(위반) 90%에 가까워진(주의) 건을 예외 목록에 자동으로 올려야 한다.</x:t>
  </x:si>
  <x:si>
    <x:t xml:space="preserve">예외 종류, 초과 금액, 관련 계약·설계사·룰셋 버전, 계산 근거, 해결조치(정정·감액·취소·이연)를 저장한다. '승인하여 초과지급' 상태는 제공하지 않는다.</x:t>
  </x:si>
  <x:si>
    <x:t xml:space="preserve">예외처리설계서/화면정의서</x:t>
  </x:si>
  <x:si>
    <x:t xml:space="preserve">초과 시도 1건당 중복 없는 예외가 생성되고, 해결 완료 전 지급확정이 불가능하다.</x:t>
  </x:si>
  <x:si>
    <x:t xml:space="preserve">FUN-033 검증이 실패·경고를 낼 때 자동(실시간·배치 공통).</x:t>
  </x:si>
  <x:si>
    <x:t xml:space="preserve">예외 업무키는 SRC-032 안정 업무키({검증월}:{예외유형}:{업무대상}:{업무식별자}:{세부차원})로, 1,200% 위반은 계약·지급단계·한도 규칙을 세부차원으로 쓰고 실행ID는 넣지 않는다. 처리상태는 FUN-053의 NEW→IN_REVIEW→RESOLVED/REJECTED를 따르고 해결조치 코드를 필수화한다.</x:t>
  </x:si>
  <x:si>
    <x:t xml:space="preserve">v2.1: 초과 승인 경로 제거 · 2026-10-11: 예외 업무키·처리상태를 SRC-032 D-03·D-04와 FUN-053에 맞춰 정정(OPEN/RESOLVED 2상태 삭제)</x:t>
  </x:si>
  <x:si>
    <x:t xml:space="preserve">한도 결과를 입력값 → 계산식 → 항목별 금액 → 최종 합계까지 풀어서 보여줘야 한다.</x:t>
  </x:si>
  <x:si>
    <x:t xml:space="preserve">한도 결과를 입력값 → 적용 룰셋 → 계산식 → 항목별 귀속금액 → 최종 합계까지 풀어서 보여준다. 1차는 룰셋의 근거ID 문자열을 표시하고, 전용 근거자료 연결 화면은 2차에서 구현한다.</x:t>
  </x:si>
  <x:si>
    <x:t xml:space="preserve">화면정의서/계산명세서</x:t>
  </x:si>
  <x:si>
    <x:t xml:space="preserve">사용자가 계약 한 건의 한도 결과를 입력값부터 최종금액까지 재계산할 수 있는 수준으로 확인한다.</x:t>
  </x:si>
  <x:si>
    <x:t xml:space="preserve">상시 조회(계약 상세의 계산 근거 영역).</x:t>
  </x:si>
  <x:si>
    <x:t xml:space="preserve">검증 시점의 입력·중간값을 JSON(구조를 가진 텍스트)으로 저장해 두고, 화면에서 표로 풀어서 표시.</x:t>
  </x:si>
  <x:si>
    <x:t xml:space="preserve">2026년 현재 회사별 지급방식에 따라 계약 1건의 회차별 예상 스케줄을 생성해야 한다. 이는 2027년부터 시행되는 법정 4년·7년 분급과 구분되는 기존 회사별 분할지급 계획이다.</x:t>
  </x:si>
  <x:si>
    <x:t xml:space="preserve">① 원수사→GA 예상 수입 스케줄과 ② GA→설계사 예상 지급 스케줄을 별도 방향으로 생성한다. 각 행은 지급예정일, 회차, 수수료 항목(기본수수료·시책·지원금 등), 기준금액, 요율/정액, 예상금액, 지급조건, 정책버전, 방향을 가진다. 원수사 자료와 GA 내부 규정은 정규화되어 DB에 이미 적재된 것으로 전제한다. 실제 송금은 수행하지 않는다. 스케줄 라인은 회차·계약차월·지급예정일·수수료항목과 함께 **수취인(beneficiary_agent_id)** 을 갖는다. 관리자수수료는 같은 계약·항목·회차에 팀장·지사장·본부장 3행이 정상적으로 생성되며 수취인은 계약 소속 조직에서 상위 조직으로 올라가며 찾은 해당 직급의 활성 설계사다(운영정책서 제20조).</x:t>
  </x:si>
  <x:si>
    <x:t xml:space="preserve">현행스케줄설계서/ERD/API명세서/단위테스트</x:t>
  </x:si>
  <x:si>
    <x:t xml:space="preserve">샘플 계약에서 원수사→GA와 GA→설계사 스케줄이 서로 구분되어 생성되고, 각 회차 금액·총액이 시드 정책의 기대값과 일치한다. 적용 정책이 없거나 복수이면 생성하지 않고 REVIEW_REQUIRED로 표시한다.</x:t>
  </x:si>
  <x:si>
    <x:t xml:space="preserve">계약 확정 시 또는 사용자가 재계산 버튼을 누를 때(실시간). 월 검증 실행 전에 일괄 재생성할 수 있다.</x:t>
  </x:si>
  <x:si>
    <x:t xml:space="preserve">Spring MVC/MyBatis 기반 ScheduleGenerator 도메인 서비스. 정책을 입력으로 받아 결정론적으로 같은 결과를 만들고 BigDecimal을 사용한다. 생성결과에는 schedule_version과 policy_version을 저장한다.</x:t>
  </x:si>
  <x:si>
    <x:t xml:space="preserve">적용 상품·정책 버전에 따라 최대 48개월의 분급 예정 스케줄을 생성하고 조회해야 한다.</x:t>
  </x:si>
  <x:si>
    <x:t xml:space="preserve">상품 판매개시일·기초서류 버전·적용 수수료체계로 룰셋을 선택한다. 정책에 설정된 회차 수·월 요율·기준금액을 사용해 최대 48개월의 예정 회차·월금액·총액을 생성한다. 이번 기능은 예정 스케줄 생성·조회까지 제공한다. FUN-064의 유지조건·담당자 유효성·동일 월금액·월 한도 검증 및 검증 통과 회차 확정은 제공하지 않는다. 생성 결과가 지급 가능 또는 확정 완료를 뜻하지 않는다. 계약상태에 따른 보류·재개는 FUN-015·028·029, 계약체결비용 한도 검증은 FUN-062에서 별도로 처리한다. 기존 1차 1,200% 기능은 유지한다.</x:t>
  </x:si>
  <x:si>
    <x:t xml:space="preserve">4년분급설계서/ERD/배치설계서/Golden Test</x:t>
  </x:si>
  <x:si>
    <x:t xml:space="preserve">SRC-001,SRC-003,SRC-014,REG-03,REG-04,REG-19,SRC-022,SRC-036</x:t>
  </x:si>
  <x:si>
    <x:t xml:space="preserve">4년 적용 상품의 예정 회차·월금액·총액이 선택한 정책값대로 생성·조회된다. 상품버전 경계·근거 부족은 REVIEW_REQUIRED로 구분한다. 생성·조회만으로 지급예정 확정 또는 지급 가능 상태로 전환하지 않는다.</x:t>
  </x:si>
  <x:si>
    <x:t xml:space="preserve">계약·정책 적용 시 예정 스케줄을 생성하고 화면에서 조회한다. 월 배치의 일괄 생성·재계산에도 같은 생성 로직을 사용한다.</x:t>
  </x:si>
  <x:si>
    <x:t xml:space="preserve">기존 ScheduleGenerator에 4년 룰셋 전략을 적용한다. 정책값으로 예정 회차를 계산·저장·조회하며 유지관리 검증·확정 흐름은 호출하지 않는다.</x:t>
  </x:si>
  <x:si>
    <x:t xml:space="preserve">적용 상품·정책 버전에 따라 최대 84개월의 분급 예정 스케줄과 장기유지관리수수료 예정 회차를 생성하고 조회해야 한다.</x:t>
  </x:si>
  <x:si>
    <x:t xml:space="preserve">상품 판매개시일·기초서류 버전·적용 수수료체계로 룰셋을 선택한다. 정책에 설정된 회차 수·월 요율·기준금액을 사용해 최대 84개월의 예정 회차·월금액·총액을 생성한다. 장기유지 최초 회차·기간·요율은 정책 파라미터로 적용한다. 계약에 처음 연결된 설계사는 고정한다. 이번 기능은 예정 스케줄 생성·조회까지 제공한다. FUN-064의 유지조건·담당자 유효성·동일 월금액·월 한도 검증 및 검증 통과 회차 확정은 제공하지 않는다. 생성 결과가 지급 가능 또는 확정 완료를 뜻하지 않는다. 계약상태에 따른 보류·재개는 FUN-015·028·029, 계약체결비용 한도 검증은 FUN-062에서 별도로 처리한다. 기존 1차 1,200% 기능은 유지한다.</x:t>
  </x:si>
  <x:si>
    <x:t xml:space="preserve">7년분급설계서/상태전이도/배치설계서/회귀테스트</x:t>
  </x:si>
  <x:si>
    <x:t xml:space="preserve">7년 적용 상품의 예정 회차·월금액·총액이 선택한 정책값대로 생성·조회된다. 장기유지 예정 회차도 정책 파라미터와 일치한다. 상품버전 경계·근거 부족은 REVIEW_REQUIRED로 구분한다. 생성·조회만으로 지급예정 확정 또는 지급 가능 상태로 전환하지 않는다.</x:t>
  </x:si>
  <x:si>
    <x:t xml:space="preserve">기존 ScheduleGenerator에 7년 룰셋 전략을 적용한다. 정책값으로 예정 회차를 계산·저장·조회하며 유지관리 검증·확정 흐름은 호출하지 않는다.</x:t>
  </x:si>
  <x:si>
    <x:t xml:space="preserve">예상 스케줄의 상태와 변경버전을 관리하고, 이미 확정된 회차를 덮어쓰지 않은 채 미래 회차만 조정해야 한다.</x:t>
  </x:si>
  <x:si>
    <x:t xml:space="preserve">1차는 PLANNED(예정)·CONFIRMED(확정)·MATCHED(대사일치)·ADJUSTED(조정) 상태와 재계산 버전을 관리한다. 정책·계약 변경 시 기존 스케줄을 삭제하지 않고 새 버전을 만든다. 2차는 계약상태에 따라 HOLD(보류)·CANCELLED(취소)·RESTARTED(재개) 상태를 추가한다.</x:t>
  </x:si>
  <x:si>
    <x:t xml:space="preserve">상태전이도/스케줄조정설계서/ERD/테스트케이스</x:t>
  </x:si>
  <x:si>
    <x:t xml:space="preserve">재계산 전·후 스케줄 버전이 모두 조회되고 확정된 과거 회차는 자동 덮어쓰기 되지 않는다. 2차에서는 실효·해지·부활 이벤트가 미래 회차 상태에만 반영된다.</x:t>
  </x:si>
  <x:si>
    <x:t xml:space="preserve">계약·정책 변경, 명세 대사, 계약상태 이벤트 발생 시.</x:t>
  </x:si>
  <x:si>
    <x:t xml:space="preserve">schedule_header에 버전과 상태를 두고 schedule_line은 불변에 가깝게 관리한다. 변경은 새 버전·조정행 생성으로 처리한다.</x:t>
  </x:si>
  <x:si>
    <x:t xml:space="preserve">같은 계약·정책으로 스케줄 생성을 두 번 돌려도 중복이 생기면 안 된다(멱등성: 재실행해도 결과가 같음).</x:t>
  </x:si>
  <x:si>
    <x:t xml:space="preserve">계약ID+스케줄방향+정책버전+수수료항목+회차+스케줄버전의 업무키를 적용해 같은 입력을 재실행해도 중복 행이 생기지 않게 한다. 이 원칙은 현행, 4년, 7년 스케줄 모두에 적용한다. 업무키에는 **수취인**도 포함한다(uq_schedule_line_business = 스케줄헤더+수수료항목+회차+수취인). 수취인이 빠지면 관리자수수료의 팀장·지사장·본부장 3행이 서로 중복으로 취급된다.</x:t>
  </x:si>
  <x:si>
    <x:t xml:space="preserve">배치설계서/멱등성테스트결과서</x:t>
  </x:si>
  <x:si>
    <x:t xml:space="preserve">현행 스케줄 생성 요청을 두 번 실행해도 두 번째 신규 생성건수는 0건이고, 2차 4년·7년 룰셋에서도 같은 테스트가 통과한다.</x:t>
  </x:si>
  <x:si>
    <x:t xml:space="preserve">모든 스케줄 생성·재생성 실행 시.</x:t>
  </x:si>
  <x:si>
    <x:t xml:space="preserve">1차 PostgreSQL UNIQUE 제약과 서비스 멱등키를 적용하고, 2차 JPA/Spring Batch에서도 같은 업무키를 유지한다.</x:t>
  </x:si>
  <x:si>
    <x:t xml:space="preserve">대상월의 계약·예상 스케줄·지급 건·실제 명세·보험료·해약환급금 스냅샷을 하나의 실행 단위로 묶어 1,200%룰, 원장대사, 차익거래를 검증해야 한다.</x:t>
  </x:si>
  <x:si>
    <x:t xml:space="preserve">1차는 사용자가 월을 선택해 수동 실행한다. 실행 주체는 사람이지만 내부 실행기는 Spring Batch(MonthlyValidationJob)다. 실행은 CREATED→RUNNING→COMPLETED/FAILED→FINALIZED 상태를 가지며 실제 수수료 송금이나 공식 회계마감은 하지 않는다. 실행 스냅샷에는 지급단계별 1,200% 룰셋, 상품 적용 수수료체계, 예상 해약환급률표 버전과 80% 공제 플래그를 저장한다. 2차는 같은 실행구조를 자동 스케줄링과 4년·7년 룰셋으로 확장한다.</x:t>
  </x:si>
  <x:si>
    <x:t xml:space="preserve">배치설계서/화면정의서/API명세서</x:t>
  </x:si>
  <x:si>
    <x:t xml:space="preserve">동일 대상월의 활성 실행 중복이 차단되고 실행상세에 1,200%·대사·차익거래 결과와 함께 사용한 룰셋·예상 해약환급률표 버전이 표시된다.</x:t>
  </x:si>
  <x:si>
    <x:t xml:space="preserve">월말·원수사 실제 명세 적재 후 또는 발표 데모에서 사용자가 버튼을 누를 때.</x:t>
  </x:si>
  <x:si>
    <x:t xml:space="preserve">1차부터 Spring Batch Job/Step으로 만든다(ECR-001). 서비스 오케스트레이터가 단계별 검증기를 호출하고 실행ID로 결과를 묶는다. 화면·API의 실시간 검증과 배치가 같은 계산 엔진을 공유한다. 2차는 Job을 5개로 확장하고 자동 스케줄링을 붙인다.</x:t>
  </x:si>
  <x:si>
    <x:t xml:space="preserve">월 검증 실행에서 처리할 계약, 예상 스케줄, 지급 건, 실제 명세, 보험료·해약환급금 스냅샷을 기준일과 상태에 맞게 선별해야 한다.</x:t>
  </x:si>
  <x:si>
    <x:t xml:space="preserve">중복·취소·검증대상 아님을 구분하고 동일 원천행이 한 실행에 두 번 포함되지 않게 한다. 상품코드·납입기간·판매채널·기준일에 맞는 예상 해약환급률표 버전을 선택하며 상품코드 불일치·표 누락·중복은 REVIEW_REQUIRED 예외로 분리한다. 1차는 정규화 시드 데이터를 사용하고 2차는 계약상태와 4년·7년 스케줄 상태를 추가 반영한다.</x:t>
  </x:si>
  <x:si>
    <x:t xml:space="preserve">업무규칙서/배치설계서</x:t>
  </x:si>
  <x:si>
    <x:t xml:space="preserve">합성 데이터의 대상·제외·중복 건수가 기대값과 일치하고, 올바른 환급률표 버전이 연결된다. 상품코드 불일치·표 누락·중복 샘플은 계산에서 제외되고 예외로 생성된다.</x:t>
  </x:si>
  <x:si>
    <x:t xml:space="preserve">월 검증 실행 시작 시 자동.</x:t>
  </x:si>
  <x:si>
    <x:t xml:space="preserve">검증 실행ID와 원천 업무키에 UNIQUE 제약을 두고 선별 쿼리를 검증기별로 분리한다.</x:t>
  </x:si>
  <x:si>
    <x:t xml:space="preserve">실행별로 1,200% 판정, 스케줄 생성상태, 원장 균형, 대사결과, 차익거래 후보를 집계하고 계약별 상세와 합계가 일치해야 한다.</x:t>
  </x:si>
  <x:si>
    <x:t xml:space="preserve">집계는 규제판정과 업무지표를 섞지 않는다. 1,200%는 계약별 NORMAL/WARNING/VIOLATION/REVIEW_REQUIRED, 대사는 MATCHED/MISMATCHED/UNMATCHED, 차익거래는 CLEAR/CANDIDATE/REVIEW_REQUIRED로 구분한다.</x:t>
  </x:si>
  <x:si>
    <x:t xml:space="preserve">계산명세서/공통개발표준/단위테스트</x:t>
  </x:si>
  <x:si>
    <x:t xml:space="preserve">상세 건수·금액 합계가 실행 요약과 정확히 일치하고 설계사·조직 합계가 계약별 규제판정을 덮어쓰지 않는다.</x:t>
  </x:si>
  <x:si>
    <x:t xml:space="preserve">각 검증 단계 완료 후 자동.</x:t>
  </x:si>
  <x:si>
    <x:t xml:space="preserve">검증별 결과테이블을 분리하고 실행 요약은 SQL 집계로 계산한다. 화면에 쓰기 위해 결과를 임의로 복제하지 않는다.</x:t>
  </x:si>
  <x:si>
    <x:t xml:space="preserve">담당자가 월 검증 결과를 검토한 뒤 확정하여 당시 룰셋과 계산근거를 잠가야 한다.</x:t>
  </x:si>
  <x:si>
    <x:t xml:space="preserve">검증 완료 실행을 확정하면 대상·정책버전·스케줄버전·1,200% 결과·대사결과·차익거래 결과를 잠근다. 원천 오류를 고칠 때는 확정 실행을 직접 수정하지 않고 새 실행을 생성한다. 이는 검증결과 잠금이며 실제 송금·법정 회계마감이 아니다.</x:t>
  </x:si>
  <x:si>
    <x:t xml:space="preserve">화면정의서/업무흐름도</x:t>
  </x:si>
  <x:si>
    <x:t xml:space="preserve">확정 실행의 결과행은 수정·삭제되지 않고 동일 월 재검증은 새 실행번호로 생성되어 이전 결과와 비교할 수 있다.</x:t>
  </x:si>
  <x:si>
    <x:t xml:space="preserve">검증 계산이 끝난 뒤 담당자가 화면에서 결과를 검토하고 확정한다(수동).</x:t>
  </x:si>
  <x:si>
    <x:t xml:space="preserve">run 상태 FINALIZED + 결과행 불변 처리. 지급 건 자체를 CONFIRMED로 일괄 변경하지 않는다.</x:t>
  </x:si>
  <x:si>
    <x:t xml:space="preserve">정산 배치가 중간에 죽어도, 이미 처리한 건은 건너뛰고 실패 지점부터 다시 돌릴 수 있어야 한다.</x:t>
  </x:si>
  <x:si>
    <x:t xml:space="preserve">예: 30건 중 25번째 실패 → 재시작 → 최종 30건이 각 1회씩만 처리(중복 0건).</x:t>
  </x:si>
  <x:si>
    <x:t xml:space="preserve">배치설계서/재시작테스트결과서</x:t>
  </x:si>
  <x:si>
    <x:t xml:space="preserve">30건 중 25번째 실패 시 재시작 후 최종 30건이 1회씩만 처리되고 중복 0건이다.</x:t>
  </x:si>
  <x:si>
    <x:t xml:space="preserve">배치 실패 발생 시(운영 이벤트).</x:t>
  </x:si>
  <x:si>
    <x:t xml:space="preserve">1차 Spring Batch는 멱등키·UNIQUE 제약으로 전체 재실행 시 중복을 방지한다. 2차에는 Spring Batch 메타데이터와 청크 체크포인트를 활용해 실패 지점 재시작을 구현한다.</x:t>
  </x:si>
  <x:si>
    <x:t xml:space="preserve">예상 스케줄과 실제 명세·확정 지급 건을 차변과 대변 합계가 항상 같은 복식부기 방식의 FGC 내부 검증용 보조원장에 기록해야 한다.</x:t>
  </x:si>
  <x:si>
    <x:t xml:space="preserve">이 원장은 GA의 법정 회계장부나 실제 은행송금 장부가 아니라 정산검증을 위한 보조원장이다. 분개헤더와 분개상세를 분리하고 원천유형(EXPECTED_INSURER_INCOME, ACTUAL_INSURER_STATEMENT, EXPECTED_FC_PAYOUT, CONFIRMED_FC_PAYOUT, ADJUSTMENT, CLAWBACK), 계약, 스케줄, 명세, 정책버전을 연결한다. 기존 분개는 삭제·직접수정하지 않는다.</x:t>
  </x:si>
  <x:si>
    <x:t xml:space="preserve">복식부기원장설계서/계정과목정의서/ERD/API명세서/테스트결과서</x:t>
  </x:si>
  <x:si>
    <x:t xml:space="preserve">각 분개번호의 차변합계와 대변합계가 일치하지 않으면 저장·확정이 거절된다. 예상·실제 원천에서 분개까지 추적할 수 있고 기존 분개행의 물리 삭제가 차단된다.</x:t>
  </x:si>
  <x:si>
    <x:t xml:space="preserve">예상 스케줄 생성, 실제 명세 적재 확인, 지급 건 확정, 정정·환수 처리 시 자동.</x:t>
  </x:si>
  <x:si>
    <x:t xml:space="preserve">journal_header/journal_line 구조와 계정과목 시드를 사용한다. 서비스 트랜잭션에서 균형을 검사하고 PostgreSQL 제약·권한으로 직접 UPDATE/DELETE를 제한한다. 금액은 BigDecimal/DECIMAL.</x:t>
  </x:si>
  <x:si>
    <x:t xml:space="preserve">확정된 원장의 오류는 원거래를 직접 수정하지 않고 반대 분개(역분개)와 올바른 신규 분개를 추가해 바로잡아야 한다.</x:t>
  </x:si>
  <x:si>
    <x:t xml:space="preserve">원거래ID, 정정사유, 처리자, 정정 전후 금액을 연결한다. LEDG-W01의 정정 요청은 원분개를 참조하는 JOURNAL_CORRECTION_REQUIRED 예외를 생성하거나 기존 미종결 예외를 재사용한 뒤 EXCP-W01로 이동한다. 1차는 기본 역분개와 재기표를 구현하고, 2차는 승인자 분리·마감재개·환수 상계 흐름으로 확장한다.</x:t>
  </x:si>
  <x:si>
    <x:t xml:space="preserve">원장정정설계서/업무규칙서/테스트결과서</x:t>
  </x:si>
  <x:si>
    <x:t xml:space="preserve">역분개와 재기표 후 순액이 기대값과 일치하고 원거래·역분개·신규분개가 하나의 정정그룹으로 조회된다. 원장 정정 예외는 실제 reverseAndRepost 성공과 같은 트랜잭션에서만 RESOLVED가 되며 처리이력만 저장해서 종결할 수 없다. 원거래 직접 수정은 차단된다.</x:t>
  </x:si>
  <x:si>
    <x:t xml:space="preserve">명세 오류·정책 오류·지급 건 정정 발견 시 수동 요청 후 처리.</x:t>
  </x:si>
  <x:si>
    <x:t xml:space="preserve">원분개를 참조하는 반대 방향 분개와 신규 분개를 하나의 트랜잭션으로 INSERT한다. 수정 API 대신 예외 연계 reverseAndRepost 명령을 제공하고 기존 journal_correction_group과 exception_case를 재사용한다.</x:t>
  </x:si>
  <x:si>
    <x:t xml:space="preserve">v2.2: 복식부기 원장 정합성을 위해 기본 역분개를 1차에 포함 · 2026-08-20: LEDG-W01→EXCP-W01 정정 예외 연계와 성공 시 종결 원칙 명시</x:t>
  </x:si>
  <x:si>
    <x:t xml:space="preserve">예상 스케줄과 실제로 적재된 명세·확정 지급 건을 계약·설계사·항목·회차·방향 기준으로 맞춰 보고 원장 금액과 일치하는지 검증해야 한다.</x:t>
  </x:si>
  <x:si>
    <x:t xml:space="preserve">① 원수사→GA 예상 수입 스케줄과 원수사 실제 지급명세를 대사하고 ② GA→설계사 예상 지급 스케줄과 FGC에 등록·확정된 지급 건을 대사한다. 정확일치·금액차이·누락·중복·상대방/회차 불일치·미매칭으로 구분한다. 입력은 정규화되어 DB에 적재된 데이터를 사용하며 파일 업로드는 하지 않는다. 한 계약·수수료항목·정산월 안에 수취인이 여럿인 지급(관리자수수료의 팀장·지사장·본부장)이 정상적으로 존재하므로, 계약·항목·월로 묶은 뒤 그 안에서 수취인 단위로 짝을 지어 판정한다. 합계만 비교하지 않는다. 짝 하나가 대사 결과 한 행이며 업무키의 수취인 구간으로 구분한다(운영정책서 제36조 수취인 짝짓기 규칙).</x:t>
  </x:si>
  <x:si>
    <x:t xml:space="preserve">대사설계서/매칭키정의서/ERD/API명세서/테스트결과서</x:t>
  </x:si>
  <x:si>
    <x:t xml:space="preserve">합성 데이터에서 정상·누락·중복·금액차이·설계사/회차 불일치 건수가 기대값과 일치하고, 대사결과 금액이 해당 예상·실제 분개와 추적 연결된다. 관리자수수료 3건을 규정대로 지급하면 수취인별 3행이 모두 MATCHED로 나오고, 한 명분을 빠뜨리면 그 수취인 행만 ACTUAL_MISSING이 된다.</x:t>
  </x:si>
  <x:si>
    <x:t xml:space="preserve">원수사 실제 명세가 DB에 적재된 뒤 또는 월 검증 실행 시. 필요하면 계약 단위 수동 재실행.</x:t>
  </x:si>
  <x:si>
    <x:t xml:space="preserve">1차는 MyBatis SQL 조인으로 매칭하고 MonthlyValidationJob의 reconciliationStep에서 실행한다(1차부터 Spring Batch, SRC-027 D-02·ECR-001). 매칭키는 계약번호+방향+설계사/조직+항목+회차를 기본으로 하고 그 안에서 수취인 단위로 짝짓는다. 2차는 별도 ReconciliationJob을 추가한다(ECR-002).</x:t>
  </x:si>
  <x:si>
    <x:t xml:space="preserve">v2.2: 현행 예상 스케줄 검증에 필수이므로 1차로 이동 · 2026-10-11: "2차 Spring Batch 마이그레이션" 문구를 SRC-027 D-02(1차 Spring Batch)에 맞춰 정정</x:t>
  </x:si>
  <x:si>
    <x:t xml:space="preserve">대사 결과의 불일치를 원인별(누락, 중복, 금액 차이, 설계사 불일치, 해지계약 지급, 정책버전 오류)로 자동 분류해야 한다.</x:t>
  </x:si>
  <x:si>
    <x:t xml:space="preserve">불일치를 누락, 중복, 금액차이, 설계사/조직 불일치, 회차 불일치, 해지·비유효 계약 지급, 정책버전 오류, 원장 불균형으로 분류한다. 한 건에 원인이 여러 개면 주원인과 보조원인을 나눠 기록한다. 수취인 짝짓기 후 남은 예상·실제가 각각 한 명씩이면 AGENT_MISMATCH로 분류하고, 양쪽 모두 두 명 이상 남아 대응을 단정할 수 없으면 REVIEW_REQUIRED로 남긴다. 수취인이 여럿이라는 사실 자체는 불일치가 아니다.</x:t>
  </x:si>
  <x:si>
    <x:t xml:space="preserve">대사규칙서/예외분류체계</x:t>
  </x:si>
  <x:si>
    <x:t xml:space="preserve">합성 오류 데이터가 정의된 유형으로 자동 분류되고 미분류 건은 UNKNOWN/REVIEW_REQUIRED로 남아 사람이 확인할 수 있다. 팀장 몫이 다른 수취인에게 지급된 경우 총액이 같아도 MATCHED로 통과하지 않는다.</x:t>
  </x:si>
  <x:si>
    <x:t xml:space="preserve">대사 실행 내부 단계.</x:t>
  </x:si>
  <x:si>
    <x:t xml:space="preserve">유형판정 규칙을 순서 있는 정책 객체로 분리하고 유형별 Golden Test를 만든다.</x:t>
  </x:si>
  <x:si>
    <x:t xml:space="preserve">금액·날짜·회차를 비교할 때 어느 정도 차이까지 봐줄지(허용오차)를 보험회사·항목별로 설정해야 한다.</x:t>
  </x:si>
  <x:si>
    <x:t xml:space="preserve">1차 기본값은 0원 정확일치로 고정하고 날짜·회차도 정확히 비교한다. 데모 데이터에서 불가피한 반올림 차이는 별도 근거가 있는 항목만 시드 정책으로 허용한다. 2차에는 보험회사·항목·적용기간별 절대금액 또는 비율 허용오차를 관리한다.</x:t>
  </x:si>
  <x:si>
    <x:t xml:space="preserve">대사규칙서/화면정의서</x:t>
  </x:si>
  <x:si>
    <x:t xml:space="preserve">1차에서 1원 차이도 금액차이로 분류되며, 2차 정책 허용오차가 활성화되면 범위 이내는 경고 또는 일치로 판정된다.</x:t>
  </x:si>
  <x:si>
    <x:t xml:space="preserve">1차는 대사 실행 때 고정정책 적용. 2차는 정책 설정 후 대사 배치에서 적용.</x:t>
  </x:si>
  <x:si>
    <x:t xml:space="preserve">판정 인터페이스는 처음부터 TolerancePolicy를 받도록 만들되 1차 구현체는 ZeroTolerancePolicy로 한다.</x:t>
  </x:si>
  <x:si>
    <x:t xml:space="preserve">대사 실행별 대상 기간, 처리 건수, 일치율, 불일치 금액과 상태를 조회해야 한다.</x:t>
  </x:si>
  <x:si>
    <x:t xml:space="preserve">실행별 대상기간, 방향, 처리건수, 일치율, 불일치 금액, 오류상태, 재실행 이력을 조회한다. 관련 월 검증 실행·예외·원장 분개로 이동할 수 있어야 한다.</x:t>
  </x:si>
  <x:si>
    <x:t xml:space="preserve">대사 실행 목록과 상세의 건수·금액이 일치하고 계약·예외·분개 상세로 추적할 수 있다.</x:t>
  </x:si>
  <x:si>
    <x:t xml:space="preserve">1차 Thymeleaf 목록·상세와 조회 API, 2차 React 화면과 Spring Batch 메타데이터로 확장.</x:t>
  </x:si>
  <x:si>
    <x:t xml:space="preserve">대사 불일치와 규정 위반 후보를 중복 없이 예외 건으로 만들어야 한다.</x:t>
  </x:si>
  <x:si>
    <x:t xml:space="preserve">1,200% 위반, 대사 불일치, 원장 불균형, 차익거래 후보를 원천 실행·계약·스케줄·명세행·분개·정책버전과 연결된 예외 건으로 만든다. 원장 화면에서 정정을 요청하면 source_entity_type=JOURNAL_HEADER와 source_entity_id=원분개ID인 JOURNAL_CORRECTION_REQUIRED 예외를 생성하거나 기존 미종결 건을 재사용한다. 동일 원천·유형의 예외는 재실행하거나 버튼을 다시 눌러도 중복 생성하지 않는다.</x:t>
  </x:si>
  <x:si>
    <x:t xml:space="preserve">예외처리설계서/ERD</x:t>
  </x:si>
  <x:si>
    <x:t xml:space="preserve">동일 검증결과를 다시 실행하거나 같은 원분개의 정정 요청을 반복해도 예외가 중복 생성되지 않고 기존 미종결 예외가 반환된다.</x:t>
  </x:si>
  <x:si>
    <x:t xml:space="preserve">각 검증 단계가 위반·불일치·후보를 확정할 때 자동. 원장 정정 요청은 LEDG-W01에서 수동.</x:t>
  </x:si>
  <x:si>
    <x:t xml:space="preserve">검증 예외는 SRC-032 안정 업무키({검증월}:{예외유형}:{업무대상}:{업무식별자}:{세부차원}) UNIQUE 제약으로 업무건 하나에 묶고, 새 실행의 재검출은 검출 이력만 추가한다(실행ID는 업무키에 넣지 않는다). 원장 정정 요청 예외는 원분개ID 기준 업무키로 upsert/조회한다.</x:t>
  </x:si>
  <x:si>
    <x:t xml:space="preserve">v2.2: 1200%·대사·원장·차익거래 공통 예외로 1차 확대 · 2026-08-20: 원장 정정 요청의 멱등 예외 생성 명시 · 2026-10-11: 예외 업무키를 SRC-032 D-02·D-03(검증월 기준 안정 업무키) 기준으로 정정</x:t>
  </x:si>
  <x:si>
    <x:t xml:space="preserve">1,200% 위반, 대사 불일치, 원장 오류, 차익거래 후보를 담당자가 검토하고 근거와 조치결과를 남기는 예외 처리 흐름을 제공해야 한다.</x:t>
  </x:si>
  <x:si>
    <x:t xml:space="preserve">기본 상태 NEW(신규)→IN_REVIEW(검토중)→RESOLVED(해결)/REJECTED(오탐·반려)를 사용하고 담당자, 처리사유, 근거링크, 조치유형을 필수 기록한다. 오탐·반려 오조작이나 추가 증빙이 확인되면 REOPEN 조치로 REJECTED→IN_REVIEW 재검토를 허용하되 RESOLVED는 직접 재오픈하지 않는다. JOURNAL_CORRECTION_REQUIRED의 CORRECT 조치는 원분개 역분개와 재기표를 실제 수행하며 성공 결과 ID를 처리이력에 연결한다. 1차는 간단한 담당·상태·사유 처리, 2차는 SLA(처리기한), 알림, 승인단계를 추가한다.</x:t>
  </x:si>
  <x:si>
    <x:t xml:space="preserve">업무흐름도/화면정의서/권한매트릭스</x:t>
  </x:si>
  <x:si>
    <x:t xml:space="preserve">예외 상태를 바꿀 때 처리사유가 없으면 저장되지 않는다. REOPEN은 REJECTED에서만 허용되고 사유·처리자·이력이 보존된다. 원장 정정 예외는 역분개와 재기표가 모두 성공한 경우에만 같은 트랜잭션에서 RESOLVED가 되며 원분개·역분개·재기표·정정그룹을 추적할 수 있다. 정정 실패 시 예외 상태와 처리이력도 함께 롤백된다.</x:t>
  </x:si>
  <x:si>
    <x:t xml:space="preserve">예외가 생성된 뒤 담당자가 상시 처리.</x:t>
  </x:si>
  <x:si>
    <x:t xml:space="preserve">1차 MyBatis 상태전이 검증과 Thymeleaf 목록·상세. 상태변경은 허용 전이표를 서버에서 검사하고 감사로그를 남긴다. 원장 정정 CORRECT는 JournalCorrectionService.reverseAndRepost를 호출한 뒤 성공 결과와 함께 상태를 전이한다. REOPEN은 기존 IF-API-44 조치 API를 재사용한다.</x:t>
  </x:si>
  <x:si>
    <x:t xml:space="preserve">v2.2: 1차의 1200%·대사·차익거래 예외 처리를 위해 1차로 이동 · 2026-08-20: 원장 정정 CORRECT의 실제 도메인 명령 및 원자성 명시 · REJECTED 재검토 상태전이 추가</x:t>
  </x:si>
  <x:si>
    <x:t xml:space="preserve">계약 해지·실효·청약철회나 차익거래 검증(FUN-063)에 걸리면 환수(이미 준 돈 되돌려 받기) 검토 대상을 만들어야 한다.</x:t>
  </x:si>
  <x:si>
    <x:t xml:space="preserve">후보와 근거(기지급액·미지급액)를 생성한다. 실제 환수 공식은 회사별 정책 파라미터임을 표시한다(환수율·산식은 회사별 위촉계약 영역 — REG-14. 다만 차익거래 방지를 위한 환수 조치와 환수사유·금액의 기록·안내는 감독규정 사항 — REG-12, SRC-025 Q11). 이번 범위는 검토 후보와 근거 생성까지이며 통지·이의·확정·상계 상태 관리는 포함하지 않는다.</x:t>
  </x:si>
  <x:si>
    <x:t xml:space="preserve">환수업무규칙서/화면정의서</x:t>
  </x:si>
  <x:si>
    <x:t xml:space="preserve">해지 이벤트 발생 시 관련 기지급액과 미지급액을 근거로 환수검토 건이 생성된다.</x:t>
  </x:si>
  <x:si>
    <x:t xml:space="preserve">해지 등 이벤트 발생 시 자동(실시간) 또는 일 배치.</x:t>
  </x:si>
  <x:si>
    <x:t xml:space="preserve">2차. 이벤트 → 환수검토 테이블 INSERT. 환수율 표는 GA별 설정 데이터로(KIRI·실물 표 시드, SRC-017·020·021).</x:t>
  </x:si>
  <x:si>
    <x:t xml:space="preserve">보험회사·상품·경과 회차별 환수 규칙을 적용해 환수액을 계산해야 한다.</x:t>
  </x:si>
  <x:si>
    <x:t xml:space="preserve">고정 공식이 아니라 정책버전·경과회차·기지급액을 입력으로 계산한다. 계산 결과와 근거를 저장·조회하며 계산 완료를 환수 확정·상계 또는 회수 완료로 표시하지 않는다.</x:t>
  </x:si>
  <x:si>
    <x:t xml:space="preserve">환수계산명세서/단위테스트/Golden Test</x:t>
  </x:si>
  <x:si>
    <x:t xml:space="preserve">합의된 환수 예시의 기대금액과 시스템 결과가 일치하고 적용 정책버전이 표시된다.</x:t>
  </x:si>
  <x:si>
    <x:t xml:space="preserve">환수 계산 요청 시(실시간) 또는 배치.</x:t>
  </x:si>
  <x:si>
    <x:t xml:space="preserve">2차. 환수율 테이블(경과월 구간별 %) 조회 × 기지급액. 합의된 예시 케이스로 골든 테스트.</x:t>
  </x:si>
  <x:si>
    <x:t xml:space="preserve">환수 건의 진행 상태(통지→이의→확정)와 상계(다음에 줄 돈에서 빼기) 내역을 관리해야 한다.</x:t>
  </x:si>
  <x:si>
    <x:t xml:space="preserve">통지일, 이의제기, 확정액, 상계 회차, 잔액과 증빙을 기록한다.</x:t>
  </x:si>
  <x:si>
    <x:t xml:space="preserve">업무흐름도/화면정의서/원장설계서</x:t>
  </x:si>
  <x:si>
    <x:t xml:space="preserve">확정된 환수액이 향후 지급액에서 정책에 따라 상계되고 잔액이 추적된다.</x:t>
  </x:si>
  <x:si>
    <x:t xml:space="preserve">담당자 조작 + 정산 시 상계 자동 반영.</x:t>
  </x:si>
  <x:si>
    <x:t xml:space="preserve">2차. 상태 관리 + 정산 집계에서 환수 잔액 차감 로직.</x:t>
  </x:si>
  <x:si>
    <x:t xml:space="preserve">담당자가 첫 화면에서 핵심 현황을 한눈에 봐야 한다.</x:t>
  </x:si>
  <x:si>
    <x:t xml:space="preserve">1차 선택 화면으로 당월 계약별 1,200% 사용량, 스케줄 생성실패, 대사 불일치, 차익거래 후보, 미처리 예외를 요약한다. 규제판정의 원본은 각 상세화면이며 대시보드 수치는 집계 조회만 한다.</x:t>
  </x:si>
  <x:si>
    <x:t xml:space="preserve">대시보드의 건수·금액이 검증 실행·대사·예외 상세 합계와 일치하고 항목 클릭 시 해당 목록으로 이동한다.</x:t>
  </x:si>
  <x:si>
    <x:t xml:space="preserve">상시 조회(로그인 직후 첫 화면).</x:t>
  </x:si>
  <x:si>
    <x:t xml:space="preserve">집계 쿼리 4~5개 + 카드형 화면. KPI 숫자 클릭 시 해당 목록으로 이동(필터 전달).</x:t>
  </x:si>
  <x:si>
    <x:t xml:space="preserve">계약·설계사·정산·예외 정보를 조건으로 검색할 수 있어야 한다.</x:t>
  </x:si>
  <x:si>
    <x:t xml:space="preserve">기간, 보험회사, 상품, 조직, 설계사, 상태, 금액범위 필터와 페이징(쪽 나눔)을 제공한다. (대사·환수 검색은 2차)</x:t>
  </x:si>
  <x:si>
    <x:t xml:space="preserve">2차 통합검색에서 계약·설계사·검증실행·예외를 교차 조회한다. 1차는 각 목록 화면의 기본 필터만 제공한다.</x:t>
  </x:si>
  <x:si>
    <x:t xml:space="preserve">2차 통합검색은 선택 조건이 많은 조회이므로 QueryRepository에서 동적 조건 + 페이징으로 구현한다. 현재는 EntityManager JPQL 조립, 마지막 단계에서 QueryDSL로 전환한다(ECR-002, ADR-03, #366).</x:t>
  </x:si>
  <x:si>
    <x:t xml:space="preserve">SRC-005,SRC-006,SRC-027</x:t>
  </x:si>
  <x:si>
    <x:t xml:space="preserve">설계사가 본인 수수료 명세(회차별 지급·보류·조정·환수)와 계산 근거를 직접 볼 수 있어야 한다.</x:t>
  </x:si>
  <x:si>
    <x:t xml:space="preserve">본인 것만 조회 가능(권한 분리). 관리자는 전체 조회. 수수료등 지급기준 안내 의무는 감독규정 제4-31조⑥1호에 있으나, 설계사 본인 명세 화면을 직접 요구하는 조문은 근거 없음 — 확인 필요(SRC-022).</x:t>
  </x:si>
  <x:si>
    <x:t xml:space="preserve">화면정의서/권한매트릭스</x:t>
  </x:si>
  <x:si>
    <x:t xml:space="preserve">설계사 계정은 본인 명세만 조회하고 계약·항목·회차·상태·근거가 표시된다.</x:t>
  </x:si>
  <x:si>
    <x:t xml:space="preserve">2차 React. 로그인 사용자=설계사 매핑으로 조회 범위 제한.</x:t>
  </x:si>
  <x:si>
    <x:t xml:space="preserve">누가 언제 무엇을 바꿨는지(룰셋·계약·지급 건·검증 실행·예외·권한) 기록을 남겨야 한다.</x:t>
  </x:si>
  <x:si>
    <x:t xml:space="preserve">누가 언제 무엇을 바꿨는지(룰셋·계약·지급 건·검증 실행·예외·권한)와 함께 정책버전, 지급단계, 포함·제외 판단, 정착지원금 귀속, 공통비 배부정책, 승인근거를 기록한다. 1차 범위 밖인 환수 워크플로는 2차에 추가한다.</x:t>
  </x:si>
  <x:si>
    <x:t xml:space="preserve">감사설계서/ERD/테스트결과서</x:t>
  </x:si>
  <x:si>
    <x:t xml:space="preserve">정의된 핵심 변경 시나리오와 지급기준 버전·귀속·배부정책 변경의 감사로그 기록률이 100%이고 일반 사용자가 수정·삭제할 수 없다.</x:t>
  </x:si>
  <x:si>
    <x:t xml:space="preserve">핵심 변경이 일어날 때마다 자동(실시간).</x:t>
  </x:si>
  <x:si>
    <x:t xml:space="preserve">공통 서비스 또는 AOP(공통 기능을 한 곳에 모아 자동으로 끼워 넣는 스프링 기법)로 INSERT 전용 로그 테이블에 기록.</x:t>
  </x:si>
  <x:si>
    <x:t xml:space="preserve">2027년 이후 적용상품에서는 선지급수수료와 유지관리수수료가 각각 계약체결비용 한도 안에서 설정·집행되는지 검증해야 한다.</x:t>
  </x:si>
  <x:si>
    <x:t xml:space="preserve">선지급수수료와 유지관리수수료가 각각 계약체결비용 이내인지 별도로 검증한다. 유지관리수수료에 포함되는 간접지원경비는 별도 항목으로 구분하되 유지관리수수료 총액 한도에 포함한다. 일반 공통비에 계약체결비용의 19%라는 고정 한도를 적용하지 않는다. 제4-32조제7항 제외항목은 요건과 증빙을 갖춘 경우에만 계산에서 제외하고, 적용 상품은 REG-19의 판매개시일·기초서류 기준으로 판정한다.</x:t>
  </x:si>
  <x:si>
    <x:t xml:space="preserve">계약체결비용검증규칙서/정책데이터사전/계산명세서/Golden Test</x:t>
  </x:si>
  <x:si>
    <x:t xml:space="preserve">선지급·유지관리 한도 결과가 각각 산출되고 간접지원경비를 포함한 유지관리 총액이 검증된다. 19% 고정값이 적용되지 않으며 적용례 경계·근거부족·한도초과 회차는 확정되지 않는다.</x:t>
  </x:si>
  <x:si>
    <x:t xml:space="preserve">예정 스케줄 생성·재계산 후 별도 한도 검증 요청 또는 월 검증 배치에서 실행한다. 구현 순서는 후순위이나 M 범위를 유지한다.</x:t>
  </x:si>
  <x:si>
    <x:t xml:space="preserve">ContractAcquisitionCostValidator를 별도 도메인 서비스로 구현하고 한도율·기준금액은 룰셋에서 읽는다. 코드 상수로 고정하지 않는다.</x:t>
  </x:si>
  <x:si>
    <x:t xml:space="preserve">해지(실효) 시점까지 지급한 수수료등에 조건부 해약환급금을 더하고 환수금을 뺀 값이 실제 납입보험료를 초과하는 차익거래 후보를 계약 전기간에서 찾아내야 한다. 지급예정분은 사전 모니터링 지표로 따로 표시한다.</x:t>
  </x:si>
  <x:si>
    <x:t xml:space="preserve">1차는 DB에 적재된 계약별·기준일별 누적보험료, 기지급/지급예정 수수료와 상품·납입기간·채널별 1~36차월 예상/실제 해약환급금 데이터를 사용한다. 표준해약공제액 80% 이상 공제 플래그, 36개월 조건, 상품코드와 원천표 버전을 저장해 월 검증 또는 수동 검증한다. 상품코드 불일치·표 누락은 REVIEW_REQUIRED로 처리한다. 2차는 해지·실효·부활 이벤트 발생 시 자동 재검증한다. 판정 기준(REG-11·12, SRC-022 제4-32조⑥⑦, SRC-025 Q11·Q12): ① 2026-03-01 이후 체결 신계약(TM·방송 승인 대리점 2027-01-01 특례는 해당 없음, SRC-036) ② 해약환급금은 표준해약공제액 80% 이상 공제 상품이 계약 체결일부터 3년(경과기간, 납입회차 아님) 이내 해지된 경우에만 합산 ③ 제4-32조제7항 제외항목은 요건·증빙 충족 시 계산에서 제외 ④ 증권번호(주계약·특약 합산) 단위로 점검 ⑤ 피보험자 사망·보험금 지급사유·납입면제로 인한 소멸은 제외하고, 실효는 실효사유 발생 시점을 해지시기로 본다. 1차는 환수 기능이 없으므로 환수금은 0으로 둔다.</x:t>
  </x:si>
  <x:si>
    <x:t xml:space="preserve">검증규칙서/계산명세서/테스트케이스</x:t>
  </x:si>
  <x:si>
    <x:t xml:space="preserve">SRC-001,SRC-014,SRC-016,REG-12,REG-23,SRC-022,SRC-025,REG-11,SRC-036</x:t>
  </x:si>
  <x:si>
    <x:t xml:space="preserve">합성 시계열에서 차익 발생 최초 시점이 정확히 탐지되고 미발생 계약은 통과한다. 80% 공제·36개월 대상 샘플은 올바른 예상 해약환급률표 버전으로 계산되며 코드 불일치·표 누락은 확정판정이 아니라 REVIEW_REQUIRED가 된다.</x:t>
  </x:si>
  <x:si>
    <x:t xml:space="preserve">1차는 계약 단위 수동검증과 월 검증 실행. 2차는 해지·상태변경 이벤트와 정기 배치.</x:t>
  </x:si>
  <x:si>
    <x:t xml:space="preserve">기준일별 시계열을 조회해 (지급 수수료누계+조건부 해약환급금−환수금)−실제 납입보험료를 계산하는 Validator를 구현한다. 후보만 예외로 연결하고 법적 위반 확정이 아니라 '검토대상'으로 표시한다.</x:t>
  </x:si>
  <x:si>
    <x:t xml:space="preserve">v2.2.1: REG-23 36개월 예상 해약환급률표·코드 정합성 반영 · v2.2.2: 마스터·FUN·RTM 반영 확인 · 2026-10-11: 차익거래 판정식(−환수금·지급분 기준)·적용시점·경과기간·FAQ 운영기준 반영 · 2026-10-13: TM·방송채널 특례 삭제 — FGC는 대면 모집만(SRC-036)</x:t>
  </x:si>
  <x:si>
    <x:t xml:space="preserve">2027년 이후 유지관리수수료와 2029년 이후 장기유지관리수수료가 계약 유지·담당자·회차·한도 조건을 충족할 때만 지급예정으로 확정되게 검증해야 한다.</x:t>
  </x:si>
  <x:si>
    <x:t xml:space="preserve">계약 유효상태, 유지관리 담당설계사, 적용 회차, 매월 동일 금액, 월·총액 한도, 간접지원경비 구분, 정책버전과 REG-19 적용체계를 검사한다. 간접지원경비는 유지관리수수료 총액에 포함하며 19% 고정값을 적용하지 않는다. 실효·해지 시 미래회차는 보류·취소하고 부활 시 정책에 따라 재개한다. 담당설계사 변경 시 효력일 이후 회차의 수령인을 재지정하며 과거 확정 회차는 바꾸지 않는다.</x:t>
  </x:si>
  <x:si>
    <x:t xml:space="preserve">유지관리수수료검증규칙서/상태전이도/계산명세서/Golden Test</x:t>
  </x:si>
  <x:si>
    <x:t xml:space="preserve">정상유지 계약은 동일 월금액 회차가 확정 가능하고 실효·해지·담당자 없음·한도초과·적용례 불명확 계약은 보류 또는 예외가 된다. 19% 고정값 없이 간접지원경비를 포함한 총액이 검증된다.</x:t>
  </x:si>
  <x:si>
    <x:t xml:space="preserve">4년·7년 스케줄 생성, 월 배치, 계약상태·담당설계사 변경 시 자동.</x:t>
  </x:si>
  <x:si>
    <x:t xml:space="preserve">MaintenanceCommissionValidator와 상태전이 정책을 분리하고 1차 스케줄·원장·대사 인터페이스를 그대로 사용한다. JPA와 Spring Batch로 구현한다.</x:t>
  </x:si>
  <x:si>
    <x:t xml:space="preserve">정산담당자가 수수료·시책·정착지원금 지급 건(누구에게, 어떤 계약으로, 어떤 명목의 돈을, 얼마 주는지 1줄)을 화면에서 등록·수정해야 한다.</x:t>
  </x:si>
  <x:si>
    <x:t xml:space="preserve">계약, 설계사, 수수료 항목, 금액, 귀속월, 지급예정일, 지급단계, 상태와 함께 귀속계약·산입판단상태·근거·배부정책 버전·배부기준을 관리한다. 경력설계사 정착지원금은 모집월 신계약에 월 단위로 귀속하며(지급월 아님) 위촉 당월 무실적 선지급분은 최초 신계약 모집월로 이월 귀속한다. 등록은 DRAFT로 저장할 수 있으나 CONFIRMED 전환 시 FUN-033 검증을 통과해야 한다. 지급단계는 GA_TO_FC와 INSURER_TO_GA를 모두 등록할 수 있다. 저장 시 귀속 계약의 보험회사를 지급 건에 함께 기록한다. 수기 등록한 INSURER_TO_GA 건은 명세 묶음(statement_batch) 없이도 원장 기표와 양방향 대사의 실제 원천으로 인정한다 (운영정책서 제36조 원천유형별 대사 대상 요건).</x:t>
  </x:si>
  <x:si>
    <x:t xml:space="preserve">필수값을 갖춘 지급 건은 DRAFT로 보존된다. 정착지원금의 모집월·최초 신계약월 귀속이 재현되고, 배부근거·정책버전 미비 또는 한도초과 건은 CONFIRMED로 전환되지 않고 예외가 생성된다. 자연키 중복은 DB 제약으로 차단된다. 수기 등록·확정한 INSURER_TO_GA 지급 건이 실제 분개로 기표되고 원수사→GA 대사 결과에 나타난다.</x:t>
  </x:si>
  <x:si>
    <x:t xml:space="preserve">지급 사유가 생길 때 수기 등록(실시간). 대량 샘플은 시드로 적재한다.</x:t>
  </x:si>
  <x:si>
    <x:t xml:space="preserve">POST는 DRAFT 저장, 별도 confirm API가 FUN-033을 호출한다. attribution_month, allocation_policy_version, allocation_basis, evidence_ref를 저장하고 검증결과와 예외를 같은 트랜잭션으로 커밋한다.</x:t>
  </x:si>
  <x:si>
    <x:t xml:space="preserve">정산담당자가 보험사·협회에서 받은 문서(PDF·PDF 캡처·엑셀·사진)를 올리면, 시스템이 어떤 서식인지 판별하고 처리 상태를 추적해야 한다.</x:t>
  </x:si>
  <x:si>
    <x:t xml:space="preserve">허용 형식은 pdf·xlsx·xls·csv·png·jpg이고 파일당 최대 크기는 설정값으로 둔다(외부 LLM 입력 한도 50MB 미만, SRC-057). **서식 분류**는 ① 예상 해약환급률표 ② 보험사 정산데이터(수수료·환수·시책 명세) ③ 수수료율표·시책 ④ 증권·청약서 ⑤ 협회 비교설명 등급자료 5종이다. **추출 지원**은 Must ①(FUN-067)·②(FUN-068)·⑤(FUN-078 — Must이므로 최종 검수에서 꺼 둘 수 없다)이고, ③④는 FUN-070·071 구현 시 켠다. 분류됐지만 추출이 꺼진 서식은 '지원 예정'으로 표시하고 추출하지 않는다. 그 밖은 '미지원'. 문서 상태(UPLOADED→EXTRACTING→REVIEW→CONFIRMED·REJECTED, 실패 FAILED)와 행 상태(정상·확인 필요·오류·확정·제외)를 분리한다(FUN-069). 원본은 서버가 정한 파일명으로 비공개 저장하고, SHA-256이 같은 파일을 다시 올리면 새 문서를 만들지 않는다. 2차 MVP는 **개인정보가 없는 합성·가상 문서만** 받는다. 실패·거절·방치(REVIEW 장기 미처리) 문서의 원본 보존기간과 삭제는 가상 GA 정책으로 정한다(업무 규칙 아님). 원수사 사이트 자동 접속·RPA 수집은 하지 않는다. COR-010의 2차 한정 예외(OI-021, 2026-10-22 결정) 범위에서만 동작한다.</x:t>
  </x:si>
  <x:si>
    <x:t xml:space="preserve">5종 샘플이 각각 맞는 서식으로 분류되고, Must 3종(①②⑤)은 추출되며 추출이 꺼진 서식은 '지원 예정'으로 표시되어 추출되지 않는다. 미지원 서식·허용되지 않은 확장자·크기 초과 파일은 거절된다. 같은 파일을 다시 올리면 기존 문서를 안내한다. 추출이 실패하면 FAILED와 사유가 남고 재시도할 수 있다.</x:t>
  </x:si>
  <x:si>
    <x:t xml:space="preserve">사용자가 업로드할 때(실시간). 추출은 비동기로 진행(수 초~수십 초).</x:t>
  </x:si>
  <x:si>
    <x:t xml:space="preserve">Multipart 업로드 API + 문서 테이블(서식·상태·해시·원본 경로). 서식 판별은 파일 메타·시트 헤더 규칙을 먼저 쓰고 애매할 때만 LLM 분류를 쓴다. 추출은 비동기 작업으로 실행한다.</x:t>
  </x:si>
  <x:si>
    <x:t xml:space="preserve">보험사가 GA에 제공한 상품별 예상 해약환급률표에서 필요한 값을 뽑아 환급률표 초안으로 만들어야 한다.</x:t>
  </x:si>
  <x:si>
    <x:t xml:space="preserve">양식 항목(회사명·회사코드·상품코드·상품명·종 구분·납입기간·적용 납입기간·표준해약공제액 80% 이상 공제 여부·1~36차월 예상 환급률)을 추출한다. 상품코드는 FGC 상품 판매버전과 매칭하고, 매칭 실패·차월 누락·같은 키 중복·음수·숫자 아님은 '확인 필요'로 두어 확정을 막는다. 100% 초과처럼 비정상이 의심되는 값은 경고하되 원본 값을 보존한다(모든 차월 100% 상한은 법정 근거 없음 — 확인 필요, 검토 기준은 가상 GA 정책). 확정하면 **새 REFUND_RATE 정책 버전(DRAFT) 아래** refund_rate_table·refund_rate_line 초안으로 저장하고 원본 문서 ID를 source_document_ref로 남긴다. 계산에 쓰이려면 별도 승인·활성화(작성자≠승인자, DRAFT→APPROVED→ACTIVE — SRC-049의 DB 통제)를 거쳐야 하며, 활성화 후에도 적용 시작일·상품·납입기간에 맞는 검증에서만 쓴다. 미승인·미래 적용일 표는 쓰지 않고, 과거 검증 실행은 당시 표·정책 버전을 그대로 보여준다. 같은 상품·납입기간의 적용기간이 겹치면 활성화를 막는다. 이를 위해 FUN-017(S)의 **최소 승인·활성화 흐름은 이 Must의 필수 의존 범위**로 함께 구현한다.</x:t>
  </x:si>
  <x:si>
    <x:t xml:space="preserve">정답 라벨이 있는 표준 양식 샘플(엑셀·PDF 각 1종 이상)에서 36개 차월 값이 정답과 일치한다. 차월 하나를 지운 샘플은 확정이 막힌다. 확정만 하고 승인하지 않은 표는 차익거래 검증에 쓰이지 않는다. 작성자가 스스로 승인할 수 없다. 승인·활성화 후 적용일 이후 계약 검증에서만 새 표가 쓰이고, 그 전 검증 실행의 결과는 바뀌지 않는다. 적용기간이 겹치는 표는 활성화되지 않는다.</x:t>
  </x:si>
  <x:si>
    <x:t xml:space="preserve">문서함에서 해약환급률표로 판별된 문서를 추출할 때.</x:t>
  </x:si>
  <x:si>
    <x:t xml:space="preserve">엑셀은 열 위치 규칙으로 결정론 파싱하고, PDF·캡처는 LLM 구조화 출력(JSON 스키마)으로 받는다. 서버가 스키마·범위를 다시 검증한다(COR-007). 정책 버전 생명주기는 기존 DB 트리거(SRC-049)를 쓰고, 승인·활성화는 최소 승인 API(IF-API-75: 작성자≠승인자, 기대 상태로 동시 승인 경합 차단, 적용기간 중복 차단)로 연다 — DB 트리거만 있고 화면·API가 없으면 이 Must는 완결되지 않는다.</x:t>
  </x:si>
  <x:si>
    <x:t xml:space="preserve">보험사가 매월 보내는 정산데이터(수수료·환수·시책 명세)를 행 단위로 뽑아, 보험사가 실제로 보낸 사실 그대로 원천 명세로 적재하고 기존 기표·대사·예외로 판정받게 해야 한다.</x:t>
  </x:si>
  <x:si>
    <x:t xml:space="preserve">행마다 마감년월·증권번호·모집자 코드·상품코드·회차·수수료 항목·금액·지급/차감 구분을 추출하고 **원본값·정규화값·사람 수정값**을 함께 보존한다. 계약(증권번호)·설계사(보험사 모집자 코드↔agent_insurer_code)·상품·수수료 항목을 매칭하고 근거·신뢰도를 남긴다. 후보가 하나로 정해지지 않으면 '확인 필요'로 두고 자동 선택하지 않는다. 확정하면 문서 단위 statement_batch(보험사·정산월·명세 종류)와 그 아래 source_type='INSURER_STATEMENT'인 INSURER_TO_GA 원천 행으로 적재한다 — GA_MANUAL_PAYMENT(수기 지급)로 넣지 않는다(운영정책서 '원천유형별 대사 대상 요건'). **지급 승인 검증(1,200% 사전검증·계약상태 조건)으로 걸러내지 않는다**: 한도 초과·해지 후 지급·중복·모집자 불일치는 보험사가 이미 보낸 사실이므로 그대로 적재한다. **처리 범위를 명세 종류별로 나눈다** — (가) 수수료 명세(statement_type INSURER_COMMISSION)의 지급(PAYMENT) 행: 원천 DRAFT 저장 → 귀속행 생성·귀속 합계 확인 → CONFIRMED(보험사 사실의 적재 완료이지 GA의 지급 허가가 아님) → 월 통합검증(IF-BAT-01)의 실제 명세 기표(ACTUAL_INSURER_STATEMENT POSTED) → 대사(FUN-048) → 예외(FUN-052). 기표·대사는 기존 배치·대사 실행이 맡는다. (나) 차감(DEDUCTION) 행과 조정·환수 명세(INSURER_ADJUSTMENT·INSURER_CLAWBACK): 원천으로 보존만 하고 '후속 검증 대기'로 드러낸다 — 현재 실제 명세 기표·대사는 PAYMENT·INSURER_COMMISSION만 읽으며(JournalPostingSourceQueryRepository·InsurerGaReconciliationRepository), 차감·환수 명세의 대사 규칙은 근거 없음 — 확인 필요이므로 완료로 표시하지 않는다. 문서·화면에 원본 건수·지급 합계·차감 합계·순액과 기표·대사 대상 건수·금액, 미검증(후속 검증 대기·검증 실행 미선정·기표 실패) 건수를 따로 보여준다. 단계마다 실패하면 그 단계와 사유를 행에 남기고 그 단계부터 다시 시도하며, 업무키(source_type, source_business_key)로 중복을 막는다. 월 통합검증 대상(validation_target SELECTED)에 들어가지 않은 계약의 원천은 그 실행에서 기표되지 않으므로 '검증 실행 미선정'으로 표시하고 완료로 보지 않는다. 같은 파일·같은 원본 행의 재요청은 기존 결과를 돌려주고, 원본 안에 실제로 두 번 찍힌 행은 둘 다 보존해 대사에서 중복으로 판정되게 한다. **보험사 정정 명세**는 2차에서 '전체 대체본'만 지원한다: 업로드 시 담당자가 정정 유형과 대체 대상 명세 묶음을 지정해야 하고(AI가 추론하지 않음), 전체 대체본은 **부분 확정·행 제외를 허용하지 않는다**: 모든 행이 검토·합계 검증을 통과해야 하고, 그때 **한 트랜잭션으로 일괄 전환**한다 — 이전 묶음을 잠그고 기대 판 번호를 확인한 뒤 새 statement_batch(다음 판)와 새 원천을 넣고, 이전 묶음을 SUPERSEDED, 이전 원천 행을 CANCELLED로 바꾸고, 이미 POSTED된 이전 실제 분개를 기존 역분개(FUN-047)로 되돌린다. 어느 단계든 실패하면 전부 원복되어 이전 명세가 그대로 유효하다. 같은 이전 판에 대한 동시 대체는 하나만 성공한다. 잘못된 행이 있으면 고치거나 문서를 거절한다(매칭 오류를 '제외'해 전환을 끝내지 않는다). **마감 후 정정은 2차 범위 밖이다**: 이전 원천의 분개가 확정(FINALIZED)된 검증 실행에 연결돼 있으면 기존 역분개가 거절하므로(JournalCorrectionServiceImpl validateOriginal), 전환 전에 거절하고 검토 대기로 남긴다 — 과거 실행을 고치지 않는 별도 정정 실행은 설계하지 않았다. FINALIZED 검사를 지워 통과시키지 않는다. '차액 추가본'은 2차 범위 밖이며 검토 대기로 두고 자동 확정하지 않는다(문서 거절은 가능). statement_batch.data_origin 에 AI 입력 구분값 AI_INTAKE 를 더한다(현재 허용값 NORMALIZED_DB·SEED, V1 :705-708 — DB설계서·ERD v1.3 에 2차 제안으로 반영, 마이그레이션은 구현 착수 시).</x:t>
  </x:si>
  <x:si>
    <x:t xml:space="preserve">정답표가 있는 가상 명세 샘플에서 행 추출·매칭이 정답과 일치한다. 정상·한도 초과·해지 후 지급·원본 내 중복·모집자 불일치 지급 행 각각이 원천 건수·합계 그대로 적재되고, 월 통합검증·대사 후 결과가 정답표의 기대 유형과 같다. 지급+차감 혼합 파일에서 원본은 전량 보존되고 지급 대사 대상과 '후속 검증 대기' 차감 행·합계가 구분되어 표시된다. DRAFT만 저장된 원천·기표 실패 원천·검증 실행 미선정 계약의 원천을 완료로 표시하지 않는다. 같은 파일을 다시 확정해도 원천 행·분개가 늘지 않는다. 미마감 100,000원 원본을 90,000원 전체 대체본으로 정정하면 새 판만 유효하고 이전 판은 SUPERSEDED로 보존되며 이전 분개는 역분개된다. 같은 정정본을 두 번 올려도 행·분개가 늘지 않는다. 전체 대체본의 마지막 행이 실패하거나 역분개가 실패하면 이전 명세의 유효 건수·합계가 그대로이고 부분 전환되지 않는다. 같은 이전 판에 대한 동시 대체는 하나만 성공한다. 이전 원천이 FINALIZED 검증 실행의 분개에 연결된 정정은 전환 전에 거절되고 과거 결과는 바뀌지 않는다. 차액 정정 파일은 자동 확정되지 않는다.</x:t>
  </x:si>
  <x:si>
    <x:t xml:space="preserve">매월 보험사 명세를 받아 업로드할 때.</x:t>
  </x:si>
  <x:si>
    <x:t xml:space="preserve">xlsx·csv의 행과 금액은 결정론 파서로 보존하고, LLM은 열 의미 판별과 비정형 셀 해석에만 쓴다(OpenAI 파일 입력은 시트당 앞 1,000행을 파싱해 요약·헤더 메타데이터를 만든다는 뜻이지 모든 셀 전달을 보장하지 않음, SRC-057). 매칭은 DB 조회 도구로 한다. 지급 행은 기존 기표(월 통합검증 Step)·대사 엔진을 그대로 쓰고, 정정은 statement_batch 판 번호·대체 관계(제안 컬럼)와 기존 역분개를 한 트랜잭션의 전환 서비스로 묶어 처리한다(미마감 건만).</x:t>
  </x:si>
  <x:si>
    <x:t xml:space="preserve">담당자가 원본과 추출 결과를 나란히 보고 고친 뒤 한 번에 확정할 수 있어야 하며, 확정 전에 기존 검증을 다시 통과해야 한다.</x:t>
  </x:si>
  <x:si>
    <x:t xml:space="preserve">원본 위치(쪽·셀)를 강조 표시하고 필드별 추출값·매칭 근거를 보여준다. 사람이 고친 값은 수정 전·후와 수정자를 남긴다. 확정의 의미는 서식마다 다르다 — 정산데이터는 원천 사실 적재(FUN-068: 스키마·참조·합계·업무키 검증만, 지급 승인 검증 아님), 해약환급률표·수수료율표는 정책 **DRAFT 저장**(활성화는 IF-API-75 승인 흐름), 협회 등급자료는 GA관리자가 확정하면 자료 기준일 버전으로 적재(정책 승인 대상 아님, FUN-078), 증권은 계약 등록 폼 미리 채움. **문서 상태와 행 상태를 분리**한다: 확정된 행은 불변, 남은 행은 고쳐서 다시 확정하거나 사유를 적어 **'제외'**할 수 있다(확정된 행은 제외 불가). 단, 보험사 정정 명세(전체 대체본)는 부분 확정·행 제외 없이 전체를 한 번에 전환한다(FUN-068). 모든 행이 확정·제외되면 문서가 CONFIRMED가 된다. 한 행이라도 확정된 문서는 **문서 거절·재추출을 할 수 없고** 남은 행 제외로 마감한다(이미 반영한 행이 취소되거나 두 번 반영되지 않게). 같은 Idempotency-Key에 같은 요청이면 기존 결과를 돌려주고, 같은 키에 다른 본문이면 충돌로 거절한다. 동시에 들어온 두 확정 요청이 같은 행을 두 번 반영하지 않는다. '확인 필요'·'오류' 행은 일괄 확정에서 빠진다. AI 출력은 자동으로 원장·지급확정·정책 활성화에 들어가지 않는다(COR-007).</x:t>
  </x:si>
  <x:si>
    <x:t xml:space="preserve">100행 중 90행을 확정한 뒤 남은 10행을 제외하면 문서가 CONFIRMED로 마감되고 업무 원천 90건은 그대로다. 10행만 고쳐 다시 확정해도 앞의 90행이 다시 생기지 않는다. 부분 확정 문서의 거절·재추출 요청은 거부된다. 같은 키·같은 요청을 두 번 보내면 결과가 같고, 같은 키·다른 본문은 거절된다. 동시 확정 요청 두 건이 같은 원천 행을 두 번 적재하지 않는다. 감사로그에 문서 ID·행 ID·수정·제외 이력·확정자가 남는다.</x:t>
  </x:si>
  <x:si>
    <x:t xml:space="preserve">담당자가 확정 버튼을 누를 때(실시간).</x:t>
  </x:si>
  <x:si>
    <x:t xml:space="preserve">문서 테이블 + 행 테이블(행 상태·원본 위치·원본값·수정값) + confirm API(멱등키·요청 해시). 서식별로 기존 저장 경로(원천 명세 적재·정책 DRAFT·계약 폼)를 호출하고 새 우회 경로를 만들지 않는다.</x:t>
  </x:si>
  <x:si>
    <x:t xml:space="preserve">보험사·GA의 수수료율표와 시책 자료를 읽어 수수료 정책 버전 초안을 만들어야 한다.</x:t>
  </x:si>
  <x:si>
    <x:t xml:space="preserve">엑셀 수수료율표는 결정론 파서로 2줄 헤더·직급 블록을 해석하고, 이미지형 시책 PDF는 Vision 추출로 처리한다(SRC-058). 결과는 DRAFT policy_version과 commission_rule(보험사·상품 판매버전·조직·직급·회차 구간·요율, 시책은 INCENTIVE)로 만든다. 이 기능은 DRAFT까지만 만든다 — 승인·활성화는 FUN-017 흐름이다. 시책은 1,200% 산입 대상이므로 포함·제외 판정(FUN-013)을 비워 두지 않는다. 사적 기준 자료의 실제 요율은 시연에 쓰지 않고 같은 형식의 가상 파일을 쓴다(COR-005).</x:t>
  </x:si>
  <x:si>
    <x:t xml:space="preserve">화면정의서/API명세서/정책데이터사전</x:t>
  </x:si>
  <x:si>
    <x:t xml:space="preserve">가상 수수료율표 샘플의 요율이 정답과 같은 DRAFT 정책으로 만들어지고, 승인 전에는 계산에 쓰이지 않는다. 승인된 정책을 덮어쓰려 하면 새 버전으로만 만들어진다(기존 잠금 트리거).</x:t>
  </x:si>
  <x:si>
    <x:t xml:space="preserve">수수료율표·시책 문서를 추출할 때.</x:t>
  </x:si>
  <x:si>
    <x:t xml:space="preserve">엑셀 파서(openpyxl 계열 또는 Apache POI) + LLM Vision. 기존 policy_version 잠금 트리거를 재사용한다.</x:t>
  </x:si>
  <x:si>
    <x:t xml:space="preserve">증권·청약서 사진이나 PDF에서 계약 등록에 필요한 값만 뽑아 계약 등록 초안으로 채워야 한다.</x:t>
  </x:si>
  <x:si>
    <x:t xml:space="preserve">추출 대상은 계약번호·보험회사·상품명(→상품 판매버전 매칭)·계약일·보험료·납입주기·납입기간·모집 설계사뿐이다. 2차 MVP는 개인정보가 없는 합성 증권 양식만 받는다. 출력 스키마에서 이름을 빼도 원본 이미지에는 개인정보가 남으므로, 실제 증권을 지원하려면 **업로드·외부 전송 전** 개인정보 제거·차단 경로, 실패·방치 원본의 삭제 정책, 외부 처리위탁 검토가 먼저 필요하다 — 근거 없음, 확인 필요. 결과는 FUN-018 계약 등록 폼에 미리 채워지고 사람이 저장한다.</x:t>
  </x:si>
  <x:si>
    <x:t xml:space="preserve">합성 증권 이미지에서 8개 필드가 정답과 일치하고, 응답·DB·로그에 계약자·피보험자 개인정보 필드가 없다. 합성 양식이 아닌 파일은 MVP에서 거절된다.</x:t>
  </x:si>
  <x:si>
    <x:t xml:space="preserve">계약 등록 화면에서 사진·PDF를 올릴 때(실시간).</x:t>
  </x:si>
  <x:si>
    <x:t xml:space="preserve">LLM Vision 구조화 출력 스키마에 허용 필드만 둔다. 서버에서 허용 필드 외 값을 버린다.</x:t>
  </x:si>
  <x:si>
    <x:t xml:space="preserve">감독규정·시행세칙·FAQ·회사정책 문서를 조문·질의 단위로 나눠 근거 라이브러리에 등록하고 AI가 검색할 수 있게 해야 한다.</x:t>
  </x:si>
  <x:si>
    <x:t xml:space="preserve">조·항·호·부칙·별표와 FAQ Q번호 단위로 나눈다. 출처 문서·문서 버전·청크를 따로 식별하고, 각 청크는 하나의 출처(SRC ID)와 문서 버전을 참조한다(한 SRC에 여러 버전·청크가 연결될 수 있다). 청크마다 시행일·적용 종료일·출처 등급(법령·감독규정 / 공식 해석·FAQ / 협회 기준 / 회사 약정 / 기사 / 프로젝트 가정)·원문 위치를 저장한다. 문서 안의 지시문은 데이터로만 취급한다. 새 버전은 이전 버전을 지우지 않고 기간으로 구분한다.</x:t>
  </x:si>
  <x:si>
    <x:t xml:space="preserve">데이터설계서/API명세서</x:t>
  </x:si>
  <x:si>
    <x:t xml:space="preserve">등록한 청크를 출처·버전·원문 위치(파일·행)로 되짚을 수 있고, 시행일 필터를 걸면 그 시점에 유효한 청크만 검색된다.</x:t>
  </x:si>
  <x:si>
    <x:t xml:space="preserve">근거 문서를 등록·갱신할 때.</x:t>
  </x:si>
  <x:si>
    <x:t xml:space="preserve">pgvector(ADR-04) + 메타데이터 필터. 기존 20_추출텍스트 MD 변환본을 1차 입력으로 쓴다.</x:t>
  </x:si>
  <x:si>
    <x:t xml:space="preserve">사용자가 규정·FAQ에 대해 물으면 해당 시점에 적용되는 근거를 찾아 출처와 함께 답해야 한다.</x:t>
  </x:si>
  <x:si>
    <x:t xml:space="preserve">질문에 필요한 적용 시점을 먼저 확인한다 — 적용 기준은 규칙마다 다르다: 1,200%·차익거래는 계약일, 4년·7년 분급은 상품 판매개시일·기초서류 버전(REG-19), 정착지원금은 모집월(REG-20). 날짜 하나로 모든 규칙을 고르지 않는다. 검색은 시점·출처 등급 필터를 먼저 건다. 답변은 근거 청크(조문·Q번호)를 인용하고, 공식 규정과 기사·회사정책이 다르면 등급을 나눠 보여준다. 근거가 없으면 답을 만들지 않고 '근거 없음 — 확인 필요'로 답한다. '70·28·2'처럼 근거가 확인되지 않은 수치를 물으면 근거 없음을 알린다.</x:t>
  </x:si>
  <x:si>
    <x:t xml:space="preserve">API명세서/AI평가결과서</x:t>
  </x:si>
  <x:si>
    <x:t xml:space="preserve">TER-011 평가셋의 규정 질문에서 인용이 실제로 답을 뒷받침하고, 시점 경계 질문(2026-07-01 전후 계약)에서 맞는 버전을 고른다. 근거가 없는 질문에는 '근거 없음'으로 답한다.</x:t>
  </x:si>
  <x:si>
    <x:t xml:space="preserve">사용자가 질문할 때(실시간).</x:t>
  </x:si>
  <x:si>
    <x:t xml:space="preserve">FUN-072 색인 검색 + 구조화 답변(사실/근거/추가 확인 구분).</x:t>
  </x:si>
  <x:si>
    <x:t xml:space="preserve">여러 보험사 대사·예외 결과에서 같은 지점·항목·회차에 반복되는 문제를 찾아 조사 후보로 보여줘야 한다.</x:t>
  </x:si>
  <x:si>
    <x:t xml:space="preserve">DAR-012 데이터셋에 심은 공통 오류 패턴이 후보로 나오고, 정답표 대비 놓친 패턴 수와 정상 비교군 오탐 수를 기록한다. 다른 월·지급단계 데이터는 섞이지 않는다.</x:t>
  </x:si>
  <x:si>
    <x:t xml:space="preserve">월 검증·대사 실행 후 담당자가 분석을 실행할 때.</x:t>
  </x:si>
  <x:si>
    <x:t xml:space="preserve">집계 SQL로 발생률과 비교 지표를 계산한다. 정책 기준과 집계값을 정해진 문장 형식에 넣어 탐지 이유·추가 확인 항목을 설명한다. LLM 호출이나 AI 설명 생성은 사용하지 않는다.</x:t>
  </x:si>
  <x:si>
    <x:t xml:space="preserve">REG-22,SRC-032,SRC-027</x:t>
  </x:si>
  <x:si>
    <x:t xml:space="preserve">해지·실효·부활 같은 상태 사건을 저장하기 전에, 앞으로의 지급·보류·환수 검토가 어떻게 바뀌는지 미리 볼 수 있어야 한다.</x:t>
  </x:si>
  <x:si>
    <x:t xml:space="preserve">사건 종류와 효력일을 넣으면 FUN-025·026·028·029·054의 **순수 계산부를 같은 입력 스냅샷으로** 실행해 변경 전·후(멈출 회차, 보류 금액, 기지급액, 환수 검토 대상)를 비교한다. 쓰기 서비스를 실행하고 롤백하는 방식은 외부 호출·이벤트 부작용을 막지 못하므로 쓰지 않는다. 결과는 조건부 분석이며 계약 유지 확률을 예측하지 않는다. 회사 약정이 없는 환수율은 계산하지 않고 '근거 없음'으로 표시한다. 실제 저장은 기존 상태 사건 등록 경로로만 하고, 저장 시점의 최신 상태로 다시 검증한다.</x:t>
  </x:si>
  <x:si>
    <x:t xml:space="preserve">실효 미리보기 결과와 실제 저장 후 결과가 같다. 미리보기만으로는 DB가 바뀌지 않는다.</x:t>
  </x:si>
  <x:si>
    <x:t xml:space="preserve">계약 상세에서 상태 사건을 입력하기 전(실시간).</x:t>
  </x:si>
  <x:si>
    <x:t xml:space="preserve">상태 사건 처리의 계산부를 입력 스냅샷을 받는 순수 함수로 분리해 미리보기와 실제 등록이 같이 쓴다.</x:t>
  </x:si>
  <x:si>
    <x:t xml:space="preserve">대형 GA로서 상품 비교·설명에 필요한 협회 제공 수수료 등급·순위 자료를 적재하고, 상품마다 동종·유사 상품 목록을 만들어야 한다.</x:t>
  </x:si>
  <x:si>
    <x:t xml:space="preserve">보험협회가 제공한 수수료 등급·순위 자료를 AI 문서 입력(FUN-066 ⑤ — Must 추출 서식)으로 적재하고 정본으로 쓴다(2차 FAQ Q20). 협회 자료는 정책 버전이 아니라 **자료 기준일 버전의 참조 자료**다: GA관리자가 추출 결과를 확정하면 그 기준일 자료로 적재하고, 화면은 가장 최근 기준일 자료를 쓰며 과거 확인서는 생성 당시 자료 버전을 남긴다. **등급과 순위를 구분**한다: 순위는 협회 자료가 정한 비교 집합·기준일의 값이므로 그 집합·기준일을 함께 보존하고, 다른 부분 집합에 그대로 옮겨 쓰지 않는다. 비교 표의 상품 집합에 대응하는 협회 순위 자료가 없으면 순위를 '자료 없음'으로 표시하고 확인서 생성을 막는다(시연용 가상 협회 자료는 대응 집합을 함께 만든다, DAR-012). 동종·유사 상품군은 Q17 분류 기준표를 따르고, 같은 상품군 안에서도 심사방식(간편·일반)과 해약환급금 유형(일반·순수보장·만기환급·무해지·저해지)을 구분한다. 비교 대상은 다른 보험회사 상품 3개 이상이다(별표 5의6 제5호 가목). GA 제휴 상품이 3개 미만이면 확인서 생성을 막고 판매 제한을 안내한다(Q18). '업권 전체 동종·유사 상품이 2개 이하'인 예외는 우리 DB 건수로 판정하지 않고, 협회 자료 등 증빙과 확인자(GA관리자) 기록이 있을 때만 인정한다. 권유 가능한 모든 보험회사 목록을 제공한다(제5호 나목). 비교설명 제외는 원문 조건 그대로 둔다: 기업성 보험(Q21), 보험협회 보험료 비교·공시 조회 결과를 계약자가 확인할 수 있도록 한 경우의 자동차보험(확인 여부를 기록), 간단보험대리점이 간단보험을 모집하는 경우(Q22 — FGC 가상 GA는 간단보험대리점이 아니므로 해당 없음). FGC 자체 계산 등급은 '검증용'으로만 표시하고 협회 자료와 다르면 차이를 보여준다. 협회 자료의 실제 파일·API 명세는 근거 없음 — 확인 필요이므로 시연은 가상 양식으로 한다.</x:t>
  </x:si>
  <x:si>
    <x:t xml:space="preserve">가상 협회 등급자료를 적재하면 상품마다 동종·유사 목록과 등급·순위(비교 집합·기준일 포함)가 표시된다. 비교 표 집합에 대응하는 순위 자료가 없으면 순위가 '자료 없음'이고 확인서가 생성되지 않는다. 다른 회사 상품이 2개뿐인 상품군은 확인서 생성이 막히고, 증빙·확인자 기록이 있을 때만 업권 예외로 열린다. 간단보험 상품이라는 이유만으로 비교설명이 빠지지 않는다. 자체 계산값과 협회값이 다른 샘플에서 차이가 표시된다.</x:t>
  </x:si>
  <x:si>
    <x:t xml:space="preserve">협회 자료를 받을 때(보험회사는 변경 3영업일 전까지 협회에 제출, Q20)와 설계사가 조회할 때.</x:t>
  </x:si>
  <x:si>
    <x:t xml:space="preserve">상품군 분류 코드표 + 등급·순위 테이블(자료 버전·기준일). 적재는 FUN-066~069 흐름을 재사용한다.</x:t>
  </x:si>
  <x:si>
    <x:t xml:space="preserve">관리자·정산담당자의 첫 화면을 GA·설계사 현황과 미처리 예외의 두 영역으로 구성해야 한다.</x:t>
  </x:si>
  <x:si>
    <x:t xml:space="preserve">① GA·설계사 현황: 전체 설계사 수(등록·활동 구분), 지점별 설계사·유효 계약 수, 예외·한도 근접 계약·최근 상태 변화 등 확인할 일이 있는 설계사와 이름·코드 검색을 제공한다. 이름 600개를 한 번에 나열하지 않는다. ② 미처리 예외: 유형·심각도별 건수와 예외함 목록 요약을 제공한다. 예외함과 같은 집계 쿼리를 쓰며 숫자를 누르면 같은 필터의 예외함이 열린다. 자료마당·공지·문의 영역과 이를 위한 준비 중 영역은 두지 않는다. 기준 정산월·현황 기준일·갱신 시각을 구분한다. 1차 FUN-057 집계 지표를 두 영역 안에 유지하며 계약별 1,200%를 설계사 공용 잔액으로 표현하지 않는다.</x:t>
  </x:si>
  <x:si>
    <x:t xml:space="preserve">두 영역에서 GA·설계사 현황과 미처리 예외를 조회한다. 홈의 예외 건수와 같은 조건의 예외함 건수가 같다. 600명 모두 검색으로 찾을 수 있으며 자료·공지·문의 버튼이나 준비 중 영역이 없다. DAR-012 데이터셋 조회 시간을 PER-004 기준으로 측정한다.</x:t>
  </x:si>
  <x:si>
    <x:t xml:space="preserve">로그인 직후 첫 화면(상시 조회).</x:t>
  </x:si>
  <x:si>
    <x:t xml:space="preserve">설계사·지점 현황과 미처리 예외 조회 API를 사용하고 기존 검증 결과 집계를 재사용한다. 예외 집계는 예외함과 같은 쿼리를 공유한다.</x:t>
  </x:si>
  <x:si>
    <x:t xml:space="preserve">보험·규제 관련 소식과 내부 근거 자료(조문표·FAQ·요율표)를 한곳에서 보고 원문으로 이동할 수 있어야 한다.</x:t>
  </x:si>
  <x:si>
    <x:t xml:space="preserve">금융위·보험저널처럼 공식 RSS 안내가 있는 출처부터 수집한다(SRC-055). 제목·출처·게시일·원문 링크·수집 시각·출처 유형(공식자료/업계뉴스/내부자료)만 저장하고 기사 본문·사진은 저장하거나 다시 게시하지 않는다. 내부 자료는 근거 라이브러리(FUN-072)의 문서 목록을 보여준다. 수집은 백그라운드로 하고, 실패하면 마지막 성공 시각과 저장된 목록을 보여준다. 기사 게시일을 규정 시행일로 쓰지 않고, 소식을 근거로 정책을 자동 변경하지 않는다. AI는 '우리 업무와 관련 있는 이유' 한 줄만 붙일 수 있다.</x:t>
  </x:si>
  <x:si>
    <x:t xml:space="preserve">화면정의서/API명세서/배치설계서</x:t>
  </x:si>
  <x:si>
    <x:t xml:space="preserve">같은 기사(같은 URL)를 다시 수집해도 중복되지 않는다. 외부 사이트가 응답하지 않아도 홈과 자료마당이 열리고 마지막 수집 시각이 보인다.</x:t>
  </x:si>
  <x:si>
    <x:t xml:space="preserve">30~60분 간격 백그라운드 수집(운영 제안값 — 가상 GA 정책으로 정함) + 조회 시.</x:t>
  </x:si>
  <x:si>
    <x:t xml:space="preserve">스케줄러 배치(IF-BAT-06) + RSS 파서. 출처별 이용조건을 확인한 뒤 켠다.</x:t>
  </x:si>
  <x:si>
    <x:t xml:space="preserve">GA 관리자가 전 직원·설계사에게 공지를 올리고, 모두가 홈에서 볼 수 있어야 한다.</x:t>
  </x:si>
  <x:si>
    <x:t xml:space="preserve">GA관리자·시스템관리자가 작성·수정·게시 종료한다. 대상 역할(전체·설계사·정산담당 등), 게시 기간, 상단 고정을 둔다. 열람은 로그인한 모든 역할이 할 수 있다. 삭제 대신 게시 종료로 남긴다(감사로그).</x:t>
  </x:si>
  <x:si>
    <x:t xml:space="preserve">대상 역할이 아닌 사용자에게 공지가 보이지 않고, 게시 기간이 지난 공지는 홈에서 빠진다.</x:t>
  </x:si>
  <x:si>
    <x:t xml:space="preserve">관리자가 작성할 때, 사용자가 홈·공지 화면을 열 때.</x:t>
  </x:si>
  <x:si>
    <x:t xml:space="preserve">게시판 테이블 + CRUD API. 본문은 서버에서 HTML을 정제해 저장한다(SER-004).</x:t>
  </x:si>
  <x:si>
    <x:t xml:space="preserve">설계사가 자기 계약·지급·환수 건에 대해 문의나 이의를 올리고, 정산담당자가 처리 결과를 답할 수 있어야 한다.</x:t>
  </x:si>
  <x:si>
    <x:t xml:space="preserve">설계사는 본인 범위(FUN-085)의 계약·지급 건·환수 건 중 하나를 연결해 등록한다. 상태는 접수→검토중→답변완료(정정 없음) 또는 정정처리→종결이다. 환수 건 이의는 clawback_case의 이의 접수 시각·이의 기한과 연결한다(FUN-056). 정정이 필요하면 기존 정정 경로(지급 건 수정·원장 역분개 FUN-047)로만 처리하고 게시판에서 금액을 직접 바꾸지 않는다. 처리 담당자·기한·답변 이력을 남긴다. 처리 절차와 기한은 가상 GA 정책으로 정한다.</x:t>
  </x:si>
  <x:si>
    <x:t xml:space="preserve">설계사는 남의 계약으로 문의를 만들 수 없다. 환수 이의를 등록하면 해당 환수 건 상태가 이의 접수로 바뀐다. 정정 처리 결과가 원장 역분개로 추적된다.</x:t>
  </x:si>
  <x:si>
    <x:t xml:space="preserve">설계사가 등록할 때, 정산담당자가 처리할 때(실시간).</x:t>
  </x:si>
  <x:si>
    <x:t xml:space="preserve">문의 테이블(대상 엔티티 유형·ID, 상태, 담당자, 기한) + 처리 이력 테이블.</x:t>
  </x:si>
  <x:si>
    <x:t xml:space="preserve">화면정의서/API명세서/출력양식정의서</x:t>
  </x:si>
  <x:si>
    <x:t xml:space="preserve">담당자가 환수 건 화면에서 PDF 생성·재발행·다운로드를 요청할 때.</x:t>
  </x:si>
  <x:si>
    <x:t xml:space="preserve">설계사 역할로 로그인한 사용자는 본인과 연결된 설계사의 데이터만 보고 쓸 수 있어야 한다.</x:t>
  </x:si>
  <x:si>
    <x:t xml:space="preserve">모든 화면·API 요청마다(실시간).</x:t>
  </x:si>
  <x:si>
    <x:t xml:space="preserve">Spring Security 역할과 로그인 사용자의 agent_id 기반 조회·다운로드 공통 범위 필터를 적용한다.</x:t>
  </x:si>
  <x:si>
    <x:t xml:space="preserve">설계사 로그인 직후 첫 화면.</x:t>
  </x:si>
  <x:si>
    <x:t xml:space="preserve">사용자가 각 업무 화면·탭의 도움말 버튼을 누르면 마스코트가 해당 화면의 목적·항목·버튼·처리 순서와 결과 확인 방법을 단계별로 안내해야 한다.</x:t>
  </x:si>
  <x:si>
    <x:t xml:space="preserve">요구사항명세서/HTML목업/화면정의서/API명세서</x:t>
  </x:si>
  <x:si>
    <x:t xml:space="preserve">2026-10-26 현준 요청·팀 범위 합의, FGC-demo 펫 가이드 UX 참고(합성 실습)</x:t>
  </x:si>
  <x:si>
    <x:t xml:space="preserve">사용자가 각 업무 화면·탭의 도움말 버튼을 누를 때. 자동 실행하지 않는다.</x:t>
  </x:si>
  <x:si>
    <x:t xml:space="preserve">사용자가 업무대시보드에서 전체 업무 가이드를 시작하여 직접 입력한 값으로 계약 등록부터 스케줄 확인·지급 등록·월 통합검증·대사·예외 처리·최종 확정까지 이어지는 업무 흐름을 수행하고 저장 결과를 확인할 수 있어야 한다.</x:t>
  </x:si>
  <x:si>
    <x:t xml:space="preserve">사용자가 업무대시보드에서 전체 업무 가이드를 시작할 때. 각 단계의 사용자 입력·업무 처리 후 이어서 안내한다.</x:t>
  </x:si>
  <x:si>
    <x:t xml:space="preserve">일반 조회·등록·수정 요청은 목표 응답시간을 충족해야 한다.</x:t>
  </x:si>
  <x:si>
    <x:t xml:space="preserve">표준 데이터셋에서 주요 업무 API의 p95 응답시간을 2초 이내로 한다.</x:t>
  </x:si>
  <x:si>
    <x:t xml:space="preserve">성능요구사항서/성능테스트결과서</x:t>
  </x:si>
  <x:si>
    <x:t xml:space="preserve">주요 API 10종의 p95가 2초 이내이며 기준 초과 API는 개선결과를 제시한다.</x:t>
  </x:si>
  <x:si>
    <x:t xml:space="preserve">상시(성능 목표)</x:t>
  </x:si>
  <x:si>
    <x:t xml:space="preserve">주요 목록·조회 쿼리에 인덱스와 페이징 필수. 1차는 개발 중 체감 확인, 계측은 2차.</x:t>
  </x:si>
  <x:si>
    <x:t xml:space="preserve">2차 통합발표에서 대량 계약 정산 성능을 증명해야 한다.</x:t>
  </x:si>
  <x:si>
    <x:t xml:space="preserve">계약 또는 스케줄 100,000건 이상 정산을 10분 이내 완료하는 목표를 둔다.</x:t>
  </x:si>
  <x:si>
    <x:t xml:space="preserve">성능시험계획서/결과서</x:t>
  </x:si>
  <x:si>
    <x:t xml:space="preserve">100,000건 정산이 목표시간 이내 완료되고 CPU·메모리·DB 병목지표를 제시한다.</x:t>
  </x:si>
  <x:si>
    <x:t xml:space="preserve">2차 성능시험 시</x:t>
  </x:si>
  <x:si>
    <x:t xml:space="preserve">Spring Batch 청크 처리(일정 건수씩 끊어 커밋) + 인덱스 튜닝.</x:t>
  </x:si>
  <x:si>
    <x:t xml:space="preserve">대시보드 집계가 데이터 증가에도 업무 가능한 응답시간을 유지해야 한다.</x:t>
  </x:si>
  <x:si>
    <x:t xml:space="preserve">100,000건 기준 핵심 KPI 조회를 3초 이내 제공한다.</x:t>
  </x:si>
  <x:si>
    <x:t xml:space="preserve">조회설계서/성능테스트결과서</x:t>
  </x:si>
  <x:si>
    <x:t xml:space="preserve">대표 대시보드 조회의 p95가 3초 이내이고 집계값이 상세 합계와 일치한다.</x:t>
  </x:si>
  <x:si>
    <x:t xml:space="preserve">상시(2차 목표)</x:t>
  </x:si>
  <x:si>
    <x:t xml:space="preserve">대시보드 집계 쿼리 최적화. 필요 시 집계 테이블 도입.</x:t>
  </x:si>
  <x:si>
    <x:t xml:space="preserve">예상 동시사용자 요청에서 오류율과 응답시간 목표를 충족해야 한다.</x:t>
  </x:si>
  <x:si>
    <x:t xml:space="preserve">동시사용자 50명, 10분 시나리오에서 오류율 1% 미만을 목표로 한다.</x:t>
  </x:si>
  <x:si>
    <x:t xml:space="preserve">부하테스트계획서/결과서</x:t>
  </x:si>
  <x:si>
    <x:t xml:space="preserve">동시사용자 50명 부하시 오류율 1% 미만, 주요 API p95 3초 이내를 충족한다.</x:t>
  </x:si>
  <x:si>
    <x:t xml:space="preserve">2차 부하시험 시</x:t>
  </x:si>
  <x:si>
    <x:t xml:space="preserve">동시 50명 시나리오를 부하 도구(k6, JMeter 등)로 실행.</x:t>
  </x:si>
  <x:si>
    <x:t xml:space="preserve">배포환경의 애플리케이션·배치 장애를 신속히 탐지해야 한다.</x:t>
  </x:si>
  <x:si>
    <x:t xml:space="preserve">헬스체크 실패, 오류율 급증, 배치 실패를 60초 이내 감지·알림한다.</x:t>
  </x:si>
  <x:si>
    <x:t xml:space="preserve">모니터링설계서/알림시험결과서</x:t>
  </x:si>
  <x:si>
    <x:t xml:space="preserve">의도적 장애 주입 후 60초 이내 지정 채널에 알림이 발생한다.</x:t>
  </x:si>
  <x:si>
    <x:t xml:space="preserve">2차 운영 상시</x:t>
  </x:si>
  <x:si>
    <x:t xml:space="preserve">헬스체크(살아있는지 확인 신호) + 모니터링 알림 연동.</x:t>
  </x:si>
  <x:si>
    <x:t xml:space="preserve">멱등성 검증이 처리량을 과도하게 저하시키지 않아야 한다.</x:t>
  </x:si>
  <x:si>
    <x:t xml:space="preserve">지급 건·정산·스케줄의 유니크키와 멱등키 조회 인덱스를 설계한다.</x:t>
  </x:si>
  <x:si>
    <x:t xml:space="preserve">DB인덱스설계서/성능결과서</x:t>
  </x:si>
  <x:si>
    <x:t xml:space="preserve">동일 요청 재실행 시 신규 생성 0건이며 성능 저하가 합의 기준 이내이다.</x:t>
  </x:si>
  <x:si>
    <x:t xml:space="preserve">상시(설계 원칙)</x:t>
  </x:si>
  <x:si>
    <x:t xml:space="preserve">UNIQUE 제약 컬럼에 인덱스가 자동 생성됨을 활용. 중복 검사 쿼리를 단순하게 유지.</x:t>
  </x:si>
  <x:si>
    <x:t xml:space="preserve">문서 추출과 AI 안내 응답 시간이 업무에 쓸 수 있는 수준이어야 한다.</x:t>
  </x:si>
  <x:si>
    <x:t xml:space="preserve">측정 대상은 문서 1건 추출 완료 시간(서식·쪽수별), 피코 첫 응답 시간, 일괄 확정 시간이다. 평균과 p95를 함께 기록한다. 목표값은 10/27 PoC 첫 측정 후 확정한다(시험 목표 예: 피코 첫 응답 2초·설명 완료 10초 — 프로젝트 가정). 추출은 비동기로 처리해 화면이 멈추지 않게 한다. 시연에서 네트워크 장애에 대비해 저장된 실행 결과를 쓸 수 있으나 저장 결과임을 표시한다.</x:t>
  </x:si>
  <x:si>
    <x:t xml:space="preserve">성능테스트결과서</x:t>
  </x:si>
  <x:si>
    <x:t xml:space="preserve">측정표가 남고, 목표를 넘는 항목은 원인과 개선안이 기록된다.</x:t>
  </x:si>
  <x:si>
    <x:t xml:space="preserve">2차 성능시험·리허설 시.</x:t>
  </x:si>
  <x:si>
    <x:t xml:space="preserve">LLM 호출 로그(SER-013)의 지연값으로 집계한다.</x:t>
  </x:si>
  <x:si>
    <x:t xml:space="preserve">React 프론트엔드와 백엔드 간 API는 일관된 REST 규약을 따라야 한다.</x:t>
  </x:si>
  <x:si>
    <x:t xml:space="preserve">URI, HTTP Method, 상태코드, 페이지네이션, 오류응답, 버전 정책을 표준화한다.</x:t>
  </x:si>
  <x:si>
    <x:t xml:space="preserve">API개발표준/OpenAPI명세서</x:t>
  </x:si>
  <x:si>
    <x:t xml:space="preserve">전체 공개 API가 표준 응답구조와 상태코드를 준수한다.</x:t>
  </x:si>
  <x:si>
    <x:t xml:space="preserve">2차 API 설계 시</x:t>
  </x:si>
  <x:si>
    <x:t xml:space="preserve">URI 규칙 문서 1장 + 공통 응답 포맷 클래스.</x:t>
  </x:si>
  <x:si>
    <x:t xml:space="preserve">프론트·테스트·외부연계를 위해 API 계약을 자동 문서화해야 한다.</x:t>
  </x:si>
  <x:si>
    <x:t xml:space="preserve">요청·응답 모델, 필수값, 예시, 오류코드와 인증방식을 포함한다.</x:t>
  </x:si>
  <x:si>
    <x:t xml:space="preserve">OpenAPI명세서/Swagger UI</x:t>
  </x:si>
  <x:si>
    <x:t xml:space="preserve">주요 API 100%가 Swagger UI에 노출되고 실제 요청·응답과 불일치가 없다.</x:t>
  </x:si>
  <x:si>
    <x:t xml:space="preserve">개발 상시</x:t>
  </x:si>
  <x:si>
    <x:t xml:space="preserve">springdoc-openapi 의존성 추가로 자동 문서화.</x:t>
  </x:si>
  <x:si>
    <x:t xml:space="preserve">전체 화면은 공통 레이아웃·컴포넌트·상태표현 규칙을 따라야 한다.</x:t>
  </x:si>
  <x:si>
    <x:t xml:space="preserve">검색폼, 테이블, 상세패널, 확인창, 로딩·빈화면·오류화면을 공통화한다.</x:t>
  </x:si>
  <x:si>
    <x:t xml:space="preserve">Figma/UI스타일가이드/화면정의서</x:t>
  </x:si>
  <x:si>
    <x:t xml:space="preserve">Figma와 구현 화면의 주요 컴포넌트가 일치한다.</x:t>
  </x:si>
  <x:si>
    <x:t xml:space="preserve">화면 개발 상시</x:t>
  </x:si>
  <x:si>
    <x:t xml:space="preserve">공통 레이아웃(Thymeleaf fragment: 화면 조각 재사용 기능)·테이블 스타일 공통화.</x:t>
  </x:si>
  <x:si>
    <x:t xml:space="preserve">1차는 Spring MVC·Thymeleaf 기반 MPA와 일부 동적 SPA형 화면을 혼합해야 한다.</x:t>
  </x:si>
  <x:si>
    <x:t xml:space="preserve">1차는 로그인·기준정보·계약·정책·스케줄·원장·대사·예외를 Thymeleaf MPA로 구성하고 한도게이지·검증실행·대사상세는 Fetch/Ajax로 부분 갱신한다. 2차는 같은 API·도메인 계약을 유지하며 React SPA로 교체한다.</x:t>
  </x:si>
  <x:si>
    <x:t xml:space="preserve">프론트엔드구조설계서/화면정의서</x:t>
  </x:si>
  <x:si>
    <x:t xml:space="preserve">서버렌더링과 비동기 컴포넌트 간 인증·오류처리가 일관되게 동작한다.</x:t>
  </x:si>
  <x:si>
    <x:t xml:space="preserve">1차 화면 개발 시</x:t>
  </x:si>
  <x:si>
    <x:t xml:space="preserve">관리·입력 화면은 서버 렌더링(MPA: 페이지 전체를 서버가 그려서 줌), 대시보드·게이지는 fetch 비동기 갱신(SPA성: 화면 일부만 새로 그림).</x:t>
  </x:si>
  <x:si>
    <x:t xml:space="preserve">사용자 오류와 시스템 오류를 구분한 표준 메시지와 오류코드를 제공해야 한다.</x:t>
  </x:si>
  <x:si>
    <x:t xml:space="preserve">민감한 내부정보는 숨기고 사용자 행동지침과 요청추적ID를 제공한다.</x:t>
  </x:si>
  <x:si>
    <x:t xml:space="preserve">오류코드정의서/API표준</x:t>
  </x:si>
  <x:si>
    <x:t xml:space="preserve">대표 오류 시나리오에서 오류코드·메시지·추적ID가 제공된다.</x:t>
  </x:si>
  <x:si>
    <x:t xml:space="preserve">공통 예외 핸들러(@ControllerAdvice)에서 오류코드·메시지를 한 곳에서 표준화.</x:t>
  </x:si>
  <x:si>
    <x:t xml:space="preserve">금액·요율·날짜·시간·상태의 표시형식을 통일해야 한다.</x:t>
  </x:si>
  <x:si>
    <x:t xml:space="preserve">금액 천단위, 요율 단위, 날짜 YYYY-MM-DD, 시간대 Asia/Seoul을 기본으로 한다.</x:t>
  </x:si>
  <x:si>
    <x:t xml:space="preserve">UI표준/개발표준</x:t>
  </x:si>
  <x:si>
    <x:t xml:space="preserve">동일 데이터가 화면·API·보고서에서 상충하는 형식으로 표시되지 않는다.</x:t>
  </x:si>
  <x:si>
    <x:t xml:space="preserve">금액 천단위 콤마·날짜 YYYY-MM-DD 포맷 유틸 공통화.</x:t>
  </x:si>
  <x:si>
    <x:t xml:space="preserve">입력 화면에서 설계사·계약·상품·수수료 항목을 고를 때 검색으로 찾을 수 있어야 하고, 앞 화면의 맥락이 그대로 이어져야 한다.</x:t>
  </x:si>
  <x:si>
    <x:t xml:space="preserve">선택 목록은 서버 검색(코드·이름·계약번호 일부)과 페이지 단위 조회로 만들고, 한 번에 가져오는 목록 크기 때문에 선택지가 빠지지 않게 한다. 계약 상세·스케줄 회차·추출 검토 화면에서 지급 등록으로 들어가면 계약·수령인·항목·귀속월을 미리 채운다. 목록 화면의 검색 조건·페이지·선택 행은 돌아왔을 때 유지한다. 키보드만으로도 선택할 수 있다.</x:t>
  </x:si>
  <x:si>
    <x:t xml:space="preserve">화면정의서/UI스타일가이드</x:t>
  </x:si>
  <x:si>
    <x:t xml:space="preserve">600명 데이터에서 600번째 설계사를 이름·코드로 찾아 선택할 수 있다. 계약 상세에서 지급 등록으로 이동하면 계약·수령인이 채워져 있다. 목록으로 돌아오면 이전 필터와 페이지가 그대로다.</x:t>
  </x:si>
  <x:si>
    <x:t xml:space="preserve">입력 화면을 쓸 때(상시).</x:t>
  </x:si>
  <x:si>
    <x:t xml:space="preserve">공통 검색형 선택 컴포넌트 1개로 기존 select를 교체한다. 화면 이동 시 라우트 파라미터로 맥락을 넘긴다.</x:t>
  </x:si>
  <x:si>
    <x:t xml:space="preserve">1차 핵심 모델과 2차 확장 모델을 분리해 단계적으로 수립해야 한다.</x:t>
  </x:si>
  <x:si>
    <x:t xml:space="preserve">1차 핵심: 사용자·기준정보/현행정책(시드), 상품 판매개시일·기초서류 버전·적용 수수료체계, 설계사 신인판정정보, 계약, 계약상태사건, 지급 건, 배부정책 버전, 현행 양방향 예상스케줄, 지급단계별 1,200% 룰셋·결과, 복식분개헤더/상세, 실제명세, 대사실행/결과, 예상 해약환급률표 헤더·1~36차월 상세, 보험료·해약환급금 스냅샷, 차익거래결과, 예외, 감사. 2차 확장: 4년·7년 분급체계, 계약체결비용·유지관리 검증, 상품위원회 승인 메타데이터, 환수·상계. ★ 1차 베이스라인은 1차 실행 필수 테이블과 향후 호환을 위한 선반영 테이블을 함께 포함한다. 선반영 테이블의 존재는 해당 기능의 1차 제공을 의미하지 않으며, 단계별 활성 범위는 릴리스 매트릭스로 관리한다(SRC-027 D-03).</x:t>
  </x:si>
  <x:si>
    <x:t xml:space="preserve">개념ERD/논리ERD/물리ERD/테이블정의서</x:t>
  </x:si>
  <x:si>
    <x:t xml:space="preserve">1차 ERD에서 상품 적용체계→지급단계별 1,200%→예상 해약환급률표→차익거래 흐름이 추적되고, 2차 확장 테이블은 동일 상품·계약·정책버전 키를 재사용한다.</x:t>
  </x:si>
  <x:si>
    <x:t xml:space="preserve">설계 단계(개발 전)</x:t>
  </x:si>
  <x:si>
    <x:t xml:space="preserve">V1 베이스라인은 이미 배포되어 팀원 DB에 적용됐으므로 재작성하지 않는다. 보완은 V5·V6처럼 후속 마이그레이션으로 덧붙인다(Flyway 체크섬, SRC-027 D-04). 물리 스키마 선반영과 기능 활성 범위는 릴리스 매트릭스로 분리 관리한다.</x:t>
  </x:si>
  <x:si>
    <x:t xml:space="preserve">금액과 요율은 부동소수점 오차 없이 저장·계산해야 한다.</x:t>
  </x:si>
  <x:si>
    <x:t xml:space="preserve">Java BigDecimal과 DB DECIMAL을 사용하고 정밀도·스케일을 표준화한다.</x:t>
  </x:si>
  <x:si>
    <x:t xml:space="preserve">데이터표준/공통개발표준/테스트결과서</x:t>
  </x:si>
  <x:si>
    <x:t xml:space="preserve">소수점 경계값과 대량 합계 테스트에서 오차가 발생하지 않는다.</x:t>
  </x:si>
  <x:si>
    <x:t xml:space="preserve">Java BigDecimal + DB DECIMAL 표준(금액 15,2 / 요율 7,4). double·float 금지.</x:t>
  </x:si>
  <x:si>
    <x:t xml:space="preserve">정책·상품·조직·설계사 정보의 적용기간과 변경 이력을 관리해야 한다.</x:t>
  </x:si>
  <x:si>
    <x:t xml:space="preserve">정책·상품·조직·설계사 정보의 유효시작일·종료일과 버전을 관리한다. 상품은 판매개시일·기초서류 작성/변경일·적용 수수료체계, 설계사는 최근 등록일·직전 3년 모집경력 조회기준, 지급기준은 승인근거와 불변 버전을 보존하고 과거 기준일 조회를 지원한다.</x:t>
  </x:si>
  <x:si>
    <x:t xml:space="preserve">이력관리설계서/ERD</x:t>
  </x:si>
  <x:si>
    <x:t xml:space="preserve">과거 기준일 조회 시 당시 유효한 상품 적용체계·설계사 신인판정·지급기준 버전이 정확히 반환된다.</x:t>
  </x:si>
  <x:si>
    <x:t xml:space="preserve">effective_from/to(적용 시작/종료일) 패턴을 공통 적용.</x:t>
  </x:si>
  <x:si>
    <x:t xml:space="preserve">계약, 지급 건, 검증 실행·결과, 스케줄, 원장, 대사결과의 중복을 DB 수준에서 방지해야 한다.</x:t>
  </x:si>
  <x:si>
    <x:t xml:space="preserve">계약, 정책버전, 스케줄행, 지급 건, 분개, 실제명세행, 대사결과, 차익거래결과, 예외의 중복을 DB 수준에서 방지한다. 업무키와 기술키를 구분한다.</x:t>
  </x:si>
  <x:si>
    <x:t xml:space="preserve">키정의서/테이블정의서/멱등성테스트</x:t>
  </x:si>
  <x:si>
    <x:t xml:space="preserve">동시 요청에서도 중복 데이터가 저장되지 않는다.</x:t>
  </x:si>
  <x:si>
    <x:t xml:space="preserve">스키마 패치 v1.1의 자연키 UNIQUE(지급 건: 계약+설계사+항목+귀속월+순번 등)를 그대로 적용.</x:t>
  </x:si>
  <x:si>
    <x:t xml:space="preserve">계약·설계사·상품·정책·스케줄·정산 간 참조무결성을 보장해야 한다.</x:t>
  </x:si>
  <x:si>
    <x:t xml:space="preserve">외래키, 도메인 검증, 트랜잭션 경계를 적용한다.</x:t>
  </x:si>
  <x:si>
    <x:t xml:space="preserve">ERD/정합성검증서</x:t>
  </x:si>
  <x:si>
    <x:t xml:space="preserve">정합성 위반 시 저장이 차단되고 트랜잭션이 롤백된다.</x:t>
  </x:si>
  <x:si>
    <x:t xml:space="preserve">FK(외래키) + 트랜잭션 경계는 서비스 계층에서 관리.</x:t>
  </x:si>
  <x:si>
    <x:t xml:space="preserve">업무용어, 영문명, 코드, 컬럼명과 상태값을 팀 공통 표준으로 관리해야 한다.</x:t>
  </x:si>
  <x:si>
    <x:t xml:space="preserve">Contract, Agent, CommissionPolicy, Schedule, Settlement, Reconciliation, Clawback 정의를 일치시킨다.</x:t>
  </x:si>
  <x:si>
    <x:t xml:space="preserve">용어사전/코드정의서/데이터사전</x:t>
  </x:si>
  <x:si>
    <x:t xml:space="preserve">주요 엔티티·상태가 용어사전에 등재되고 복수 용어가 제거된다.</x:t>
  </x:si>
  <x:si>
    <x:t xml:space="preserve">91_용어사전 시트를 팀 공용 소스로 사용.</x:t>
  </x:si>
  <x:si>
    <x:t xml:space="preserve">불필요한 개인정보를 수집하지 않고 화면·로그·출력에서 마스킹해야 한다.</x:t>
  </x:si>
  <x:si>
    <x:t xml:space="preserve">데모는 합성 또는 익명화 데이터를 사용한다. 보험계약자 이름은 저장하지 않고 계약은 계약번호로 식별하므로 계약자 마스킹 규칙은 두지 않는다(SRC-027 D-05).</x:t>
  </x:si>
  <x:si>
    <x:t xml:space="preserve">개인정보처리목록/마스킹정책/테스트결과서</x:t>
  </x:si>
  <x:si>
    <x:t xml:space="preserve">데모 데이터에 실제 개인정보가 없고 권한 없는 화면·로그에서 민감값이 노출되지 않는다.</x:t>
  </x:si>
  <x:si>
    <x:t xml:space="preserve">합성 데이터만 사용. 화면·로그 마스킹 유틸 공통화.</x:t>
  </x:si>
  <x:si>
    <x:t xml:space="preserve">2026-10-11: SRC-027 D-05(계약자 이름 미저장) 반영</x:t>
  </x:si>
  <x:si>
    <x:t xml:space="preserve">핵심 데이터의 백업주기, 보존기간, 복구절차를 정의해야 한다.</x:t>
  </x:si>
  <x:si>
    <x:t xml:space="preserve">DB·파일 백업, 복구시험과 보존·파기 기준을 문서화한다.</x:t>
  </x:si>
  <x:si>
    <x:t xml:space="preserve">백업복구계획서/복구시험결과서</x:t>
  </x:si>
  <x:si>
    <x:t xml:space="preserve">백업본으로 테스트 환경 복구에 성공하고 RPO/RTO 측정값을 제시한다.</x:t>
  </x:si>
  <x:si>
    <x:t xml:space="preserve">2차 운영</x:t>
  </x:si>
  <x:si>
    <x:t xml:space="preserve">pg_dump 정기 백업 + 복구 리허설 1회.</x:t>
  </x:si>
  <x:si>
    <x:t xml:space="preserve">월 통합검증 전후에 정책·계약·스케줄·명세·원장의 완전성·유효성·일관성·중복성을 점검해야 한다.</x:t>
  </x:si>
  <x:si>
    <x:t xml:space="preserve">활성정책 미존재/중복, 필수키 누락, 비정상 금액, 고아 스케줄, 차변·대변 불균형, 명세 미매칭, 보험료·환급금 스냅샷 누락을 지표화한다. 2차에는 4년·7년 고아회차·상태불일치도 추가한다.</x:t>
  </x:si>
  <x:si>
    <x:t xml:space="preserve">데이터품질규칙서/품질리포트</x:t>
  </x:si>
  <x:si>
    <x:t xml:space="preserve">합성 결함 데이터가 정의된 품질오류로 검출되고 오류가 남은 실행은 확정되지 않는다.</x:t>
  </x:si>
  <x:si>
    <x:t xml:space="preserve">시드 적재 후, 월 통합검증 시작 전·완료 후.</x:t>
  </x:si>
  <x:si>
    <x:t xml:space="preserve">1차 SQL 품질점검 쿼리와 검증서비스, 2차 Spring Batch 품질 Step으로 확장.</x:t>
  </x:si>
  <x:si>
    <x:t xml:space="preserve">데모·시험용 합성 데이터를, 원수사 데이터가 이미 정규화 적재됐다는 전제(COR-010)에 맞게 만들어 DB에 넣어야 한다.</x:t>
  </x:si>
  <x:si>
    <x:t xml:space="preserve">현행 수수료 정책, 상품 판매개시일·기초서류 버전·적용 수수료체계, 설계사 최근 등록일·3년 경력판정, 계약·지급 건, 경력설계사 정착지원금의 모집월/최초 신계약월 귀속, 일반 공통비 배부정책 버전, 원수사→GA/GA→설계사 기대 스케줄, 실제 지급명세, 복식분개 기대값, 예상 해약환급률표(1~36차월)와 보험료·해약환급금 시계열을 정규화 구조로 생성한다. 정상, 경계, 1,200% 초과, 정책 미존재, 배부근거 미비, 환급률표 누락·상품코드 불일치, 대사 누락·중복·금액차, 차익거래 후보, 원장 불균형 시나리오를 포함한다.</x:t>
  </x:si>
  <x:si>
    <x:t xml:space="preserve">시드생성스크립트/생성가정문서</x:t>
  </x:si>
  <x:si>
    <x:t xml:space="preserve">데모 초기화 후 정착지원금 귀속, 공통비 배부근거, 신인판정, 예상 해약환급률표 버전과 모든 Golden Test 시나리오의 기대결과가 같은 키로 연결되고 반복 초기화 결과가 동일하다.</x:t>
  </x:si>
  <x:si>
    <x:t xml:space="preserve">1차 개발 초기 1회 제작, 이후 필요할 때 재생성(스크립트 실행).</x:t>
  </x:si>
  <x:si>
    <x:t xml:space="preserve">Flyway repeatable migration 또는 테스트 픽스처로 작성한다. 업로드·컬럼매핑 코드는 만들지 않는다.</x:t>
  </x:si>
  <x:si>
    <x:t xml:space="preserve">설계사 600명 규모의 가상 GA 데이터를 재현할 수 있게 만들어 시연·성능·AI 평가에 써야 한다.</x:t>
  </x:si>
  <x:si>
    <x:t xml:space="preserve">가상 GA 1곳, 지점 12곳(예시), 설계사 600명 레코드(등록·활동·해촉 상태 포함, 동명이인 허용·코드로 구분), 가상 보험사 4곳 이상을 둔다. 대형 GA 판정용으로 데이터셋 메타데이터에 '기준일 직전 분기 일평균 소속 설계사 수 = 600(프로젝트 가정)'을 기록하고, 레코드 수·활동 수와 구분한다(활동 설계사가 500명 미만이 되지 않게 생성). 계약은 1,000→3,000→12,000건 순으로 늘리며 단계마다 성능을 잰다. 생성기는 기초 데이터(조직·설계사·상품·정책·계약·상태 사건·원천 명세)만 만들고, 스케줄·1,200% 결과·분개·대사는 실제 엔진·배치로 만든다(파생 데이터 직접 INSERT 금지). 고정 seed·dataset_id·생성기 버전·기준일을 남겨 같은 seed면 같은 결과가 나오게 한다. 일부러 심은 이상(대사 차이·공통 패턴·한도 경계·상태 사건)은 정답표로 따로 남긴다. 대표 설계사 1명은 정상·실효·부활·금액 미확인·환수 사례를 함께 갖는다. 기존 DAR-011 시나리오와 Golden Test 데이터는 바꾸지 않는다. 데모 프로필에서만 적재한다. 계약자 개인정보는 만들지 않는다(D-05). 4년·7년 시연 데이터는 현재 운영형 집계와 섞지 않는다. 계약당 최대 84회·2지급단계면 스케줄 행이 12,000계약 기준 최대 2,016,000행이 될 수 있다.</x:t>
  </x:si>
  <x:si>
    <x:t xml:space="preserve">시드생성스크립트/생성가정문서/정답표</x:t>
  </x:si>
  <x:si>
    <x:t xml:space="preserve">같은 seed로 두 번 만들면 건수·합계가 같다. 홈·설계사 소계·계약 상세 집계가 일치한다. 심은 이상 정답표와 정산 탐정 결과를 비교할 수 있다. 단계별(1천·3천·1만2천 건) 배치 시간과 조회 p95가 기록된다.</x:t>
  </x:si>
  <x:si>
    <x:t xml:space="preserve">데모 환경 초기화 시.</x:t>
  </x:si>
  <x:si>
    <x:t xml:space="preserve">생성기(Java 또는 SQL generate_series)로 기초 데이터를 넣은 뒤 MonthlyValidationJob 등 기존 배치를 실행한다.</x:t>
  </x:si>
  <x:si>
    <x:t xml:space="preserve">1차 프로젝트는 Spring MVC 중심 지정 기술스택으로 구현해야 한다.</x:t>
  </x:si>
  <x:si>
    <x:t xml:space="preserve">Java 21, Spring Boot, Spring MVC, MyBatis, Thymeleaf, Spring Batch, HTML/CSS/JavaScript를 사용한다(SPA/MPA 하이브리드). Spring Batch는 1차부터 사용하며 Job 2개(MonthlyValidationJob 월 전체 검증, DailyChangedContractJob 일일 변경분 보정)를 만든다. 화면·API에서 부르는 실시간 검증과 배치가 같은 계산 엔진(CapValidator·ArbitrageValidator·ScheduleGenerator)을 공유한다.</x:t>
  </x:si>
  <x:si>
    <x:t xml:space="preserve">개발환경구성서/아키텍처설계서/배치설계서</x:t>
  </x:si>
  <x:si>
    <x:t xml:space="preserve">README 절차로 팀원 전원이 로컬 구동한다. MonthlyValidationJob을 같은 조건으로 두 번 실행해도 중복 행이 0건이다.</x:t>
  </x:si>
  <x:si>
    <x:t xml:space="preserve">1차 개발 전 기간</x:t>
  </x:si>
  <x:si>
    <x:t xml:space="preserve">프로젝트 뼈대 1회 구성 후 전원 동일 환경 사용(PSR-002). Spring Batch 메타테이블은 같은 PostgreSQL에 두고 업무용 워터마크는 batch_watermark 테이블에 따로 둔다(스키마 v2.1.3에서 신설).</x:t>
  </x:si>
  <x:si>
    <x:t xml:space="preserve">2차 프로젝트는 프론트·백엔드 분리와 ORM·DevOps 기반으로 고도화해야 한다.</x:t>
  </x:si>
  <x:si>
    <x:t xml:space="preserve">Java 21, Spring Boot, JPA(Spring Data JPA·JPQL·네이티브 쿼리 → 마지막 단계에서 동적 조회를 QueryDSL로 전환 예정), React, TypeScript, Spring Batch를 사용한다. 1차의 PolicyResolver·ScheduleGenerator·CapValidator·Journal·Reconciliation 인터페이스와 DB 업무키를 유지하면서 데이터 접근 계층은 MyBatis에서 JPA로 전면 전환하고, 최종적으로 MyBatis 의존성·Mapper XML·SqlSession 참조를 모두 제거한다(GitHub #366, 마지막 하위 이슈 #383). 기본 CRUD는 JpaRepository, 고정 조인·집계는 JPQL, 선택 조건이 많은 조회는 현재 도메인별 QueryRepository에서 EntityManager로 JPQL을 조립하며 전환 마지막 단계에서 QueryDSL로 바꾼다. CTE·윈도 함수 같은 PostgreSQL 전용 처리는 JPA Repository의 네이티브 쿼리로 남긴다. API·업무 규칙·금액 계산·DB 스키마·Flyway 이력은 바꾸지 않는다. Thymeleaf→React는 화면 단위로 단계적으로 전환한다. 배치는 1차의 Job 2개를 유지한 채 ScheduleEligibilityJob·ReconciliationJob·ArbitrageRecheckJob 3개를 더해 5개로 확장한다.</x:t>
  </x:si>
  <x:si>
    <x:t xml:space="preserve">아키텍처설계서/개발환경구성서/배치설계서</x:t>
  </x:si>
  <x:si>
    <x:t xml:space="preserve">React 앱과 Spring API가 독립 빌드·테스트되고 통합환경에서 동작한다. 1차 Job 2개는 데이터 접근을 JPA로 바꾼 뒤에도 재실행·재시작 결과가 전환 전과 같다. 운영·테스트 코드와 의존성에 MyBatis 참조가 남지 않는다.</x:t>
  </x:si>
  <x:si>
    <x:t xml:space="preserve">2차 개발 전 기간</x:t>
  </x:si>
  <x:si>
    <x:t xml:space="preserve">도메인 서비스 계층을 1차에서 잘 분리해 두면 마이그레이션 범위가 줄어든다(OI-013). 배치 실패 후 자동 재시작(FUN-045)은 2차에서 붙인다. 영역별 전환(#367~#382)을 먼저 끝내고, 공유 Mapper·MyBatis 의존성 제거와 전체 통합 검증은 #383에서 한다.</x:t>
  </x:si>
  <x:si>
    <x:t xml:space="preserve">v2.2.2: 1차가 이미 Spring Batch를 쓰므로 '수동실행→Spring Batch 마이그레이션' 문구 삭제. Job 2개 → 5개 확장으로 재정의. v2.2: 1차 핵심엔진을 폐기하지 않는 마이그레이션 원칙 명시 · 2026-10-11: 부분 전환(ADR-03 제안안) 대신 #366·#383 전면 전환으로 정정(사용자 확인) · 2026-10-11: QueryDSL은 현재 미사용(ADR-03 개정) — 필요 시 도입으로 표기 정정 · 2026-10-11: QueryDSL은 마지막 단계 전환 예정으로 표기(사용자 확인)</x:t>
  </x:si>
  <x:si>
    <x:t xml:space="preserve">공통 개발·테스트·배포의 관계형 데이터베이스를 표준화해야 한다.</x:t>
  </x:si>
  <x:si>
    <x:t xml:space="preserve">PostgreSQL을 1차·2차 공통 기본으로 하며 동일 버전을 Docker로 사용한다. Spring Batch 메타테이블도 같은 DB에 둔다.</x:t>
  </x:si>
  <x:si>
    <x:t xml:space="preserve">DB구성서/스키마관리지침</x:t>
  </x:si>
  <x:si>
    <x:t xml:space="preserve">팀원 로컬과 CI에서 동일 마이그레이션으로 스키마가 생성된다.</x:t>
  </x:si>
  <x:si>
    <x:t xml:space="preserve">공통 상시</x:t>
  </x:si>
  <x:si>
    <x:t xml:space="preserve">docker-compose로 로컬 DB 통일. 스키마 변경은 SQL 마이그레이션 파일로 버전 관리(현행 기준은 develop의 최신 Flyway V번호이며 2026-10-11 기준 V43. 문서의 v2.1.x는 V7까지의 설계 스키마 이름).</x:t>
  </x:si>
  <x:si>
    <x:t xml:space="preserve">v2.2.2: Spring Batch 메타테이블 위치 명시. 보강 — 1·2차 모두 PostgreSQL 명시 · 2026-10-11: 낡은 "현행 v2.1.3" 표기 정정</x:t>
  </x:si>
  <x:si>
    <x:t xml:space="preserve">소스·문서·DB 마이그레이션과 빌드 산출물을 Git/GitHub에서 관리해야 한다.</x:t>
  </x:si>
  <x:si>
    <x:t xml:space="preserve">보호 브랜치, PR, Actions, 릴리스 태그를 사용한다.</x:t>
  </x:si>
  <x:si>
    <x:t xml:space="preserve">형상관리계획서/CI설정</x:t>
  </x:si>
  <x:si>
    <x:t xml:space="preserve">main/develop 직접 push가 제한되고 PR 병합 시 빌드·테스트가 자동 수행된다.</x:t>
  </x:si>
  <x:si>
    <x:t xml:space="preserve">보호 브랜치 + PR 필수 + Actions 빌드 검사.</x:t>
  </x:si>
  <x:si>
    <x:t xml:space="preserve">2차는 애플리케이션을 컨테이너화하고 외부 접속 가능한 환경에 배포해야 한다.</x:t>
  </x:si>
  <x:si>
    <x:t xml:space="preserve">컨테이너 이미지(GHCR)를 빌드해 검증계·운영 환경을 분리하고, AWS EC2 3구역 + Podman Pod + Jenkins 같은 digest 승격으로 배포한다(ADR-05 확정 2026-09-21). Kubernetes·Argo CD는 조건부 병행 트랙이다.</x:t>
  </x:si>
  <x:si>
    <x:t xml:space="preserve">Containerfile/Podman Pod yaml/Jenkinsfile.fgc/배포결과서</x:t>
  </x:si>
  <x:si>
    <x:t xml:space="preserve">태그 버전을 Stage에 배포하고 이전 버전 롤백 절차를 시연한다.</x:t>
  </x:si>
  <x:si>
    <x:t xml:space="preserve">Containerfile → GHCR 이미지(trivy 스캔) → Jenkins 승인 승격 → EC2 Podman Pod. k8s는 병행 트랙(docs/2차/05_k8s_병행트랙_계획.md).</x:t>
  </x:si>
  <x:si>
    <x:t xml:space="preserve">2026-10-11: 배포 방식을 ADR-05(EC2·Podman·Jenkins)로 정정</x:t>
  </x:si>
  <x:si>
    <x:t xml:space="preserve">증빙과 보고서 출력물을 애플리케이션 서버 로컬디스크에 종속되지 않게 저장해야 한다.</x:t>
  </x:si>
  <x:si>
    <x:t xml:space="preserve">증빙·보고서 출력물을 애플리케이션 서버 로컬디스크에 종속되지 않게 저장한다. 원수사 원본 파일 보관 용도는 없다(COR-010).</x:t>
  </x:si>
  <x:si>
    <x:t xml:space="preserve">파일저장설계서/환경구성서</x:t>
  </x:si>
  <x:si>
    <x:t xml:space="preserve">재배포 후에도 파일을 조회할 수 있고 권한 없는 직접 접근이 차단된다.</x:t>
  </x:si>
  <x:si>
    <x:t xml:space="preserve">S3 호환 스토리지 또는 MinIO.</x:t>
  </x:si>
  <x:si>
    <x:t xml:space="preserve">애플리케이션·배치·DB 상태와 핵심 업무지표를 모니터링해야 한다.</x:t>
  </x:si>
  <x:si>
    <x:t xml:space="preserve">Micrometer, Prometheus, Grafana와 구조화 로그를 사용한다. 배치는 Job/Step별 처리건수·소요시간·실패지점을 남긴다.</x:t>
  </x:si>
  <x:si>
    <x:t xml:space="preserve">모니터링설계서/대시보드/알림정책</x:t>
  </x:si>
  <x:si>
    <x:t xml:space="preserve">요청수·오류율·응답시간·배치상태·JVM/DB 지표가 조회된다.</x:t>
  </x:si>
  <x:si>
    <x:t xml:space="preserve">Micrometer + Prometheus + Grafana, 구조화 로그. 1차에는 배치 실행 이력을 validation_run 테이블과 화면(FGC-UI-VRUN-W01)으로만 본다.</x:t>
  </x:si>
  <x:si>
    <x:t xml:space="preserve">모든 M/S 요구사항은 테스트 유형과 테스트케이스에 추적되어야 한다.</x:t>
  </x:si>
  <x:si>
    <x:t xml:space="preserve">단위·통합·API·E2E·성능·보안·인수 테스트 범위와 담당자를 정의한다.</x:t>
  </x:si>
  <x:si>
    <x:t xml:space="preserve">통합테스트계획서/RTM</x:t>
  </x:si>
  <x:si>
    <x:t xml:space="preserve">RTM에서 모든 M 요구사항에 최소 1개 테스트케이스가 연결된다.</x:t>
  </x:si>
  <x:si>
    <x:t xml:space="preserve">요구사항ID ↔ 테스트케이스ID 매핑 표(RTM) 유지.</x:t>
  </x:si>
  <x:si>
    <x:t xml:space="preserve">한도·분급·정산·대사·환수 계산은 독립 단위테스트로 검증해야 한다.</x:t>
  </x:si>
  <x:si>
    <x:t xml:space="preserve">현행·4년·7년 스케줄, 1,200% 한도, 계약체결비용, 유지관리수수료, 복식분개 균형, 예상/실제 대사, 차익거래, 환수 계산을 독립 단위테스트로 검증한다.</x:t>
  </x:si>
  <x:si>
    <x:t xml:space="preserve">단위테스트코드/커버리지결과</x:t>
  </x:si>
  <x:si>
    <x:t xml:space="preserve">핵심 도메인 계산 클래스 라인 커버리지 80% 이상 및 주요 분기 테스트가 통과한다.</x:t>
  </x:si>
  <x:si>
    <x:t xml:space="preserve">개발 상시(코드와 함께 작성)</x:t>
  </x:si>
  <x:si>
    <x:t xml:space="preserve">JUnit5. 1차는 한도·합산·반올림·현행 스케줄·복식분개 균형·대사·차익거래, 2차는 4년·7년 분급·계약체결비용·유지관리·환수 계산까지.</x:t>
  </x:si>
  <x:si>
    <x:t xml:space="preserve">v2.2: 1차 스케줄·원장·대사·차익거래 계산 포함 · 2026-10-11: 구현 힌트의 대사 2차 표기를 1차로 정정(FUN-048~051)</x:t>
  </x:si>
  <x:si>
    <x:t xml:space="preserve">공식 예시와 팀이 합의한 도메인 예제를 고정 기대값으로 관리해야 한다.</x:t>
  </x:si>
  <x:si>
    <x:t xml:space="preserve">공식 예시와 팀 합성 시나리오를 고정 기대값으로 관리한다. 현행 양방향 스케줄, 1200% 경계, 차변=대변, 대사 누락·중복·금액차, 차익거래 최초시점, 4년·7년 분급·유지조건을 포함한다.</x:t>
  </x:si>
  <x:si>
    <x:t xml:space="preserve">Golden Test 데이터/결과서</x:t>
  </x:si>
  <x:si>
    <x:t xml:space="preserve">정책 변경 시 의도하지 않은 기대값 변경이 CI에서 실패로 탐지된다.</x:t>
  </x:si>
  <x:si>
    <x:t xml:space="preserve">공통 상시(회귀 검증)</x:t>
  </x:si>
  <x:si>
    <x:t xml:space="preserve">규정조문표 GT 카탈로그의 기대값을 고정 테스트로. 깨지면 코드보다 문서를 먼저 대조.</x:t>
  </x:si>
  <x:si>
    <x:t xml:space="preserve">1차부터 실제 PostgreSQL과 동일한 환경에서 트랜잭션·유니크 제약·복식원장·대사 쿼리를 검증해야 한다.</x:t>
  </x:si>
  <x:si>
    <x:t xml:space="preserve">Testcontainers 또는 Docker PostgreSQL로 스케줄 멱등키, 지급 건 자연키, 분개균형, 역분개, 대사 매칭, 예외 중복방지와 롤백을 테스트한다. 2차 JPA/Batch에서도 같은 테스트를 재사용한다.</x:t>
  </x:si>
  <x:si>
    <x:t xml:space="preserve">통합테스트코드/CI결과</x:t>
  </x:si>
  <x:si>
    <x:t xml:space="preserve">H2 등 대체DB 없이 PostgreSQL 통합테스트가 CI에서 통과하고 제약 위반·롤백 시나리오가 기대대로 동작한다.</x:t>
  </x:si>
  <x:si>
    <x:t xml:space="preserve">PR·병합·릴리스 빌드마다 자동.</x:t>
  </x:si>
  <x:si>
    <x:t xml:space="preserve">Testcontainers PostgreSQL + Spring Boot Test. 2차 JPA 전환(#366) 때 같은 데이터·입력으로 전환 전후 결과를 비교하는 PostgreSQL 회귀 테스트를 유지한다.</x:t>
  </x:si>
  <x:si>
    <x:t xml:space="preserve">API 요청·응답·오류코드와 권한을 자동화 테스트해야 한다.</x:t>
  </x:si>
  <x:si>
    <x:t xml:space="preserve">Postman Collection 및 2차 REST Assured를 활용한다.</x:t>
  </x:si>
  <x:si>
    <x:t xml:space="preserve">Postman Collection/API테스트결과서</x:t>
  </x:si>
  <x:si>
    <x:t xml:space="preserve">주요 API 정상·오류·권한 시나리오가 Newman 또는 CI에서 통과한다.</x:t>
  </x:si>
  <x:si>
    <x:t xml:space="preserve">Postman Collection 유지, 2차에 REST Assured 추가.</x:t>
  </x:si>
  <x:si>
    <x:t xml:space="preserve">로그인부터 계약·현행스케줄·1200%·원장·대사·차익거래·예외까지 1차 핵심 사용자 흐름을 E2E로 검증해야 한다.</x:t>
  </x:si>
  <x:si>
    <x:t xml:space="preserve">1차는 핵심 1개 시나리오를 Playwright 또는 Selenium으로 자동화하고, 2차에는 4년·7년·계약상태·환수 흐름과 React 회귀를 확장한다.</x:t>
  </x:si>
  <x:si>
    <x:t xml:space="preserve">E2E테스트코드/결과서</x:t>
  </x:si>
  <x:si>
    <x:t xml:space="preserve">초기화된 시드에서 핵심 시나리오가 3회 연속 성공하고 실패 시 단계와 화면 캡처가 남는다.</x:t>
  </x:si>
  <x:si>
    <x:t xml:space="preserve">통합시험·릴리스 전.</x:t>
  </x:si>
  <x:si>
    <x:t xml:space="preserve">화면 data-testid를 표준화하고 발표 핵심동선만 우선 자동화한다.</x:t>
  </x:si>
  <x:si>
    <x:t xml:space="preserve">중단·재시작·동일 요청 재실행 시 검증결과와 예외가 중복되지 않음을 시험해야 한다.</x:t>
  </x:si>
  <x:si>
    <x:t xml:space="preserve">중단·재시작·동일 요청 재실행 시 중복이 없음을 시험한다. 실패지점 주입, 재시작, 병행 요청과 유니크 충돌 시나리오를 포함한다.</x:t>
  </x:si>
  <x:si>
    <x:t xml:space="preserve">멱등성시험계획서/결과서</x:t>
  </x:si>
  <x:si>
    <x:t xml:space="preserve">검증 실행·지급 건 확정·2차 배치 재실행 시나리오에서 중복 생성건수 0건을 증명한다.</x:t>
  </x:si>
  <x:si>
    <x:t xml:space="preserve">공통(정산·스케줄 개발 시)</x:t>
  </x:si>
  <x:si>
    <x:t xml:space="preserve">1차: 같은 정산 두 번 실행 → 신규 확정 0건 테스트. 2차: Spring Batch 재시작 시험.</x:t>
  </x:si>
  <x:si>
    <x:t xml:space="preserve">정산·검증·분급·대사 배치와 주요 API의 목표 성능을 자동화 도구로 검증해야 한다.</x:t>
  </x:si>
  <x:si>
    <x:t xml:space="preserve">정산배치·주요 API의 목표 성능을 자동화 도구로 검증한다. k6 또는 동등 도구와 배치 메트릭을 사용한다.</x:t>
  </x:si>
  <x:si>
    <x:t xml:space="preserve">성능시험계획서/스크립트/결과서</x:t>
  </x:si>
  <x:si>
    <x:t xml:space="preserve">성능 요구사항의 대상·데이터량·측정값·판정이 결과서에 포함된다.</x:t>
  </x:si>
  <x:si>
    <x:t xml:space="preserve">k6 스크립트 + 배치 처리량 측정.</x:t>
  </x:si>
  <x:si>
    <x:t xml:space="preserve">인증·권한·입력검증·비밀정보 노출과 해당 릴리스의 파일기능을 시험해야 한다.</x:t>
  </x:si>
  <x:si>
    <x:t xml:space="preserve">OWASP 기반 점검과 의존성 취약점 스캔을 포함한다.</x:t>
  </x:si>
  <x:si>
    <x:t xml:space="preserve">보안테스트계획서/취약점조치결과서</x:t>
  </x:si>
  <x:si>
    <x:t xml:space="preserve">1차는 인증·권한·입력검증·비밀정보, 2차 파일기능 포함 보안시험에서 High/Critical 취약점 0건 또는 승인된 예외만 존재한다.</x:t>
  </x:si>
  <x:si>
    <x:t xml:space="preserve">OWASP 기본 점검 목록 + 의존성 취약점 스캔(CI).</x:t>
  </x:si>
  <x:si>
    <x:t xml:space="preserve">1차·2차 발표의 핵심 데모 시나리오를 인수테스트로 관리해야 한다.</x:t>
  </x:si>
  <x:si>
    <x:t xml:space="preserve">1차는 현행 예상스케줄→1200%→복식원장→양방향 대사→차익거래→예외→월 통합검증, 2차는 4년·7년→초년도1200%→계약체결비용→유지관리→환수 시나리오를 인수기준으로 사용한다.</x:t>
  </x:si>
  <x:si>
    <x:t xml:space="preserve">인수테스트시나리오/리허설결과/데모스크립트</x:t>
  </x:si>
  <x:si>
    <x:t xml:space="preserve">발표 전 3회 연속 리허설에서 핵심 시나리오가 시간 내 실패 없이 완료된다.</x:t>
  </x:si>
  <x:si>
    <x:t xml:space="preserve">발표 2주 전부터</x:t>
  </x:si>
  <x:si>
    <x:t xml:space="preserve">10분 데모 3회 연속 성공 기준. 데이터 초기화 스크립트 필수.</x:t>
  </x:si>
  <x:si>
    <x:t xml:space="preserve">AI 문서 추출과 AI 답변의 정확도를 정답이 있는 평가셋으로 측정해야 한다.</x:t>
  </x:si>
  <x:si>
    <x:t xml:space="preserve">**채택한 기능별 평가 매트릭스**로 만든다 — Must(해약환급률표·정산데이터·협회 등급자료 추출, 피코 설명, 비교설명 추천사유 금지 규칙)는 필수, Should(수수료율표·시책·증권·RAG)는 해당 기능을 채택할 때 추가한다. 서식별 가상 샘플과 필드 단위 정답 라벨을 만들고, 1,001행·여러 시트·반복 헤더·합계행·음수 차감·원/천원 단위·선행 0 코드가 있는 파일을 포함한다. 협회 등급자료는 등급·순위·순위 비교 집합·기준일·상품 판매버전 매칭의 오매칭을 따로 잰다. 측정 항목: 필드 정확도, 필수 식별값·금액의 **오수락**(틀린 값을 정상으로 통과), 누락 행·합계 차이, '확인 필요' 비율과 **무수정 처리율**(전부 '확인 필요'로 보내 정확해 보이는 것을 막기 위해), 사람 수정률, 총 업무 소요시간. 합격 기준 수치는 10/27 PoC 실측 후 정하고, 실측 전 업계 기준을 임의로 쓰지 않는다. AI 답변 질문은 정상·시점 경계·근거 없음·출처 충돌·권한 밖·문서 속 지시문·금액 불일치·Q24 금지 문장을 포함한다. 표시 금액과 도구 결과가 다르거나, 권한 밖 정보가 나오거나, 근거 없이 확정하면 시연 차단 결함으로 본다. 모델·프롬프트를 바꾸면 다시 돌린다(OI-023: 모델 ID는 설정값). 일반 개발·회귀 시험은 고정 합성 입력과 저장된 정답 JSON으로 돌리고, 실제 API 호출은 프롬프트·모델·입력 처리 변경 때 대표 평가 세트만 쓴다(주최 측 제공 예산 10달러, SRC-060). 실제 추출을 결정론 파서로 축소하면 'AI 추출 합격'과 '대체 경로 동작'을 구분해 표시한다.</x:t>
  </x:si>
  <x:si>
    <x:t xml:space="preserve">AI평가셋/AI평가결과서</x:t>
  </x:si>
  <x:si>
    <x:t xml:space="preserve">평가셋 결과표(서식별 정확도·오수락·무수정 처리율·수정률·소요시간·실패 목록)가 실행마다 저장되고, 차단 결함 0건이고 PoC에서 정한 합격 기준을 넘을 때만 시연 버전으로 올린다.</x:t>
  </x:si>
  <x:si>
    <x:t xml:space="preserve">모델·프롬프트·추출 로직 변경 시, 시연 리허설 전.</x:t>
  </x:si>
  <x:si>
    <x:t xml:space="preserve">정답 라벨 JSON + 자동 비교 스크립트(CI 수동 실행 잡).</x:t>
  </x:si>
  <x:si>
    <x:t xml:space="preserve">사용자 비밀번호는 안전한 단방향 해시로 저장해야 한다.</x:t>
  </x:si>
  <x:si>
    <x:t xml:space="preserve">평문·복호화 가능한 형태로 저장하거나 로그에 출력하지 않는다.</x:t>
  </x:si>
  <x:si>
    <x:t xml:space="preserve">보안설계서/코드점검결과</x:t>
  </x:si>
  <x:si>
    <x:t xml:space="preserve">DB와 로그에서 평문 비밀번호가 발견되지 않는다.</x:t>
  </x:si>
  <x:si>
    <x:t xml:space="preserve">BCrypt 해시 저장. 로그 출력 금지.</x:t>
  </x:si>
  <x:si>
    <x:t xml:space="preserve">사용자·애플리케이션·DB 계정은 업무에 필요한 최소권한만 가져야 한다.</x:t>
  </x:si>
  <x:si>
    <x:t xml:space="preserve">역할별 권한표와 DB/스토리지 서비스계정 권한을 분리한다.</x:t>
  </x:si>
  <x:si>
    <x:t xml:space="preserve">권한매트릭스/보안설계서</x:t>
  </x:si>
  <x:si>
    <x:t xml:space="preserve">권한검증 테스트에서 역할 외 업무와 데이터에 접근할 수 없다.</x:t>
  </x:si>
  <x:si>
    <x:t xml:space="preserve">역할별 권한표(FUN-002) + DB 계정 최소권한.</x:t>
  </x:si>
  <x:si>
    <x:t xml:space="preserve">웹 세션과 쿠키를 안전하게 관리하고 CSRF를 방지해야 한다.</x:t>
  </x:si>
  <x:si>
    <x:t xml:space="preserve">HttpOnly, SameSite, Secure, 세션고정 방지와 CSRF 토큰을 적용한다. 2차 JWT(Bearer) API 요청에는 CSRF 토큰을 요구하지 않는다. Refresh 토큰 쿠키는 HttpOnly·Secure·SameSite=Strict·Path=/api/v1/auth로 두고, auth 경로만 Origin 검사와 X-FGC-Client 헤더로 별도 방어한다. 세션 MVC가 남아 있는 공존기에는 X-CSRF-TOKEN을 유지한다(SRC-028, 인터페이스정의서 §2-1-1).</x:t>
  </x:si>
  <x:si>
    <x:t xml:space="preserve">보안설계서/보안테스트결과</x:t>
  </x:si>
  <x:si>
    <x:t xml:space="preserve">보안설정 점검과 CSRF 공격 시나리오에서 요청이 차단된다.</x:t>
  </x:si>
  <x:si>
    <x:t xml:space="preserve">Spring Security 기본 CSRF 토큰 + 쿠키 설정. 2차: Bearer API는 CSRF 토큰 불필요, /api/v1/auth/** 경로만 SameSite=Strict+Origin 검사+커스텀 헤더.</x:t>
  </x:si>
  <x:si>
    <x:t xml:space="preserve">2026-10-11: 2차 JWT CSRF 판정(이슈 #400, SRC-028) 반영</x:t>
  </x:si>
  <x:si>
    <x:t xml:space="preserve">화면·API 입력을 서버에서 검증하고 SQL/스크립트 인젝션을 방지해야 한다.</x:t>
  </x:si>
  <x:si>
    <x:t xml:space="preserve">화면·API 입력을 서버에서 검증하고 SQL/스크립트 인젝션을 방지한다. Bean Validation, 바인드 파라미터, 출력 이스케이프와 허용목록을 적용한다.</x:t>
  </x:si>
  <x:si>
    <x:t xml:space="preserve">개발표준/보안테스트결과</x:t>
  </x:si>
  <x:si>
    <x:t xml:space="preserve">대표 SQLi/XSS/경로조작 입력이 저장·실행되지 않는다.</x:t>
  </x:si>
  <x:si>
    <x:t xml:space="preserve">1차 MyBatis는 #{ } 바인딩만 사용(${ } 문자열 끼워넣기 금지). 2차 JPA는 JPQL·네이티브 쿼리의 바인드 파라미터(setParameter)와 QueryDSL 표현식만 쓰고 문자열 연결로 쿼리를 만들지 않는다.</x:t>
  </x:si>
  <x:si>
    <x:t xml:space="preserve">업로드 파일의 확장자·MIME·크기·경로와 악성 내용을 검증해야 한다.</x:t>
  </x:si>
  <x:si>
    <x:t xml:space="preserve">허용 형식만 수용하고 저장파일명을 서버에서 생성하며 실행권한을 부여하지 않는다.</x:t>
  </x:si>
  <x:si>
    <x:t xml:space="preserve">파일보안정책/테스트결과</x:t>
  </x:si>
  <x:si>
    <x:t xml:space="preserve">허용하지 않은 확장자·과대파일·경로조작 파일이 차단된다.</x:t>
  </x:si>
  <x:si>
    <x:t xml:space="preserve">2차(증빙 첨부 도입 시)</x:t>
  </x:si>
  <x:si>
    <x:t xml:space="preserve">허용 형식·크기 제한, 저장 파일명 서버 생성.</x:t>
  </x:si>
  <x:si>
    <x:t xml:space="preserve">비밀번호·토큰·개인식별정보가 로그에 노출되지 않아야 한다.</x:t>
  </x:si>
  <x:si>
    <x:t xml:space="preserve">로그 마스킹과 금지필드 목록을 적용한다.</x:t>
  </x:si>
  <x:si>
    <x:t xml:space="preserve">로깅표준/로그점검결과</x:t>
  </x:si>
  <x:si>
    <x:t xml:space="preserve">대표 업무 로그 샘플에서 금지정보가 평문으로 발견되지 않는다.</x:t>
  </x:si>
  <x:si>
    <x:t xml:space="preserve">로그 마스킹 유틸 + 금지 필드 목록.</x:t>
  </x:si>
  <x:si>
    <x:t xml:space="preserve">외부 접속 배포환경의 웹·API 통신은 TLS로 보호해야 한다.</x:t>
  </x:si>
  <x:si>
    <x:t xml:space="preserve">HTTPS 리다이렉트와 안전한 인증서 설정을 적용한다.</x:t>
  </x:si>
  <x:si>
    <x:t xml:space="preserve">배포보안설계서/SSL점검결과</x:t>
  </x:si>
  <x:si>
    <x:t xml:space="preserve">HTTP 접근이 HTTPS로 전환되고 유효한 인증서로 접속된다.</x:t>
  </x:si>
  <x:si>
    <x:t xml:space="preserve">2차 배포 시</x:t>
  </x:si>
  <x:si>
    <x:t xml:space="preserve">HTTPS 리다이렉트 + 인증서 설정.</x:t>
  </x:si>
  <x:si>
    <x:t xml:space="preserve">DB 비밀번호·API키·토큰을 소스와 이미지에 하드코딩하지 않아야 한다.</x:t>
  </x:si>
  <x:si>
    <x:t xml:space="preserve">환경변수, GitHub Secrets, Jenkins Credentials, Podman Secret 등을 사용한다(ADR-05).</x:t>
  </x:si>
  <x:si>
    <x:t xml:space="preserve">비밀관리지침/점검결과</x:t>
  </x:si>
  <x:si>
    <x:t xml:space="preserve">저장소 스캔에서 활성 비밀정보가 발견되지 않는다.</x:t>
  </x:si>
  <x:si>
    <x:t xml:space="preserve">환경변수·GitHub Secrets 사용, 소스에 비밀값 금지.</x:t>
  </x:si>
  <x:si>
    <x:t xml:space="preserve">로그인 실패, 권한거부, 정책승인, 마감, 강제 재처리 이벤트를 기록해야 한다.</x:t>
  </x:si>
  <x:si>
    <x:t xml:space="preserve">이벤트 유형, 사용자, 일시, 대상, 결과, 요청식별자를 기록한다.</x:t>
  </x:si>
  <x:si>
    <x:t xml:space="preserve">보안로그정의서/감사로그</x:t>
  </x:si>
  <x:si>
    <x:t xml:space="preserve">정의된 보안 이벤트 발생 시 감사로그가 100% 생성된다.</x:t>
  </x:si>
  <x:si>
    <x:t xml:space="preserve">감사로그(FUN-061)와 같은 테이블·유틸 재사용.</x:t>
  </x:si>
  <x:si>
    <x:t xml:space="preserve">라이브러리와 이미지의 알려진 취약점을 점검·조치해야 한다.</x:t>
  </x:si>
  <x:si>
    <x:t xml:space="preserve">Dependabot 또는 동등 도구와 이미지 스캔을 CI에 포함한다.</x:t>
  </x:si>
  <x:si>
    <x:t xml:space="preserve">SBOM/취약점리포트/조치결과서</x:t>
  </x:si>
  <x:si>
    <x:t xml:space="preserve">Critical 0건, High는 조치 또는 승인된 위험수용 근거가 있다.</x:t>
  </x:si>
  <x:si>
    <x:t xml:space="preserve">공통(CI)</x:t>
  </x:si>
  <x:si>
    <x:t xml:space="preserve">Dependabot 활성화 + 이미지 스캔(2차).</x:t>
  </x:si>
  <x:si>
    <x:t xml:space="preserve">멀티 GA 지원 시 사용자 소속 테넌트 외 데이터 접근을 차단해야 한다.</x:t>
  </x:si>
  <x:si>
    <x:t xml:space="preserve">tenant_id 필터를 쿼리·캐시·파일경로 모두에 적용한다.</x:t>
  </x:si>
  <x:si>
    <x:t xml:space="preserve">멀티테넌시보안설계서/테스트결과</x:t>
  </x:si>
  <x:si>
    <x:t xml:space="preserve">서로 다른 GA 사용자 간 계약·정산·파일 교차 접근이 불가능하다.</x:t>
  </x:si>
  <x:si>
    <x:t xml:space="preserve">2차 범위 밖 — 단일 GA(OI-010, 2026-10-19). 멀티 GA를 범위에 넣으면 다시 연다</x:t>
  </x:si>
  <x:si>
    <x:t xml:space="preserve">tenant_id 필터를 공통 쿼리 조건으로.</x:t>
  </x:si>
  <x:si>
    <x:t xml:space="preserve">보존기간 종료 또는 데모 종료 시 개인정보와 원본파일의 파기 절차를 적용해야 한다.</x:t>
  </x:si>
  <x:si>
    <x:t xml:space="preserve">저장소와 백업의 보존·파기정책을 별도로 정의한다.</x:t>
  </x:si>
  <x:si>
    <x:t xml:space="preserve">보존·파기정책/파기확인서</x:t>
  </x:si>
  <x:si>
    <x:t xml:space="preserve">지정 테스트 데이터 파기 후 일반 조회·직접 파일접근에서 복원되지 않는다.</x:t>
  </x:si>
  <x:si>
    <x:t xml:space="preserve">2차 종료 시</x:t>
  </x:si>
  <x:si>
    <x:t xml:space="preserve">보존·파기 정책 문서 + 파기 스크립트.</x:t>
  </x:si>
  <x:si>
    <x:t xml:space="preserve">외부 LLM API를 쓸 때 키·개인정보·권한·문서 속 지시문을 안전하게 다뤄야 한다.</x:t>
  </x:si>
  <x:si>
    <x:t xml:space="preserve">공급자는 OpenAI API로 하고, 모델은 주최 측이 제공한 키로 쓸 수 있는 **gpt-4o-mini**를 문서 추출·피코·추천사유 모두의 기본값으로 둔다(OI-023 r19, SRC-060 — 입력 $0.15·출력 $0.60 per 1M 토큰, 구조화 출력·이미지 입력 지원, 종료 예정 2027-01-14). 모델 ID는 설정값으로 두고 코드에 박지 않는다. 서버의 LLM 게이트웨이 한 곳에서만 호출한다(OpenAI 공식 Java SDK). 제공 키가 Responses API·구조화 출력·PDF/이미지 입력을 어디까지 허용하는지는 실제 키로 확인하고(근거 없음 — 확인 필요), 막혀 있으면 서버가 파싱한 텍스트를 허용되는 호출 방식으로 보낸다. API 키는 서버 비밀정보로만 둔다(환경변수, SER-008). 브라우저가 LLM을 직접 호출하지 않는다. 응답 상태 저장은 store=false로 끈다. 문서는 Files API(`/v1/files`, 삭제할 때까지 보존 — SRC-060)에 올리지 않고 요청에 바로 넣는다(쓸 경우 추출 직후 삭제). OpenAI는 API 데이터를 기본적으로 학습에 쓰지 않지만 오남용 모니터링 로그를 최대 30일 보존하므로(SRC-059) 계약자 개인정보는 보내지 않고, 2차 MVP는 합성 문서만 보내며, 업로드 문서는 필요한 쪽·셀만 보낸다. **예산 10달러(SRC-060)**: 요청당 입력 크기·출력 상한을 설정값으로 두고, 600명·계약별로 호출하지 않으며(문서의 열 의미를 한 번 해석하고 행 처리는 서버), 같은 문서를 다시 확정할 때 추출을 다시 부르지 않는다. ai_call_log 토큰 합계로 사용액을 보고 발표용 잔액(예: 2달러)을 남긴다 — 이 분배는 팀 운영 정책이다. 업로드 문서·RAG 문서 속 문장은 지시가 아니라 데이터로 취급한다(프롬프트 인젝션 방어). AI 도구는 읽기 전용이며 로그인 사용자의 권한 범위로만 조회한다. 호출마다 모델명·요청 목적·토큰·지연·오류·관련 엔티티 ID를 ai_call_log에 기록하되 원문 개인정보는 로그에 남기지 않는다(SER-006). 시간 초과·401·403·모델 접근 불가·쿼터 소진은 반복 재시도하지 않고 AI 기능만 끄며 기본 업무는 계속 동작한다(피코는 규칙형 안내, 입력은 결정론 파서 경로).</x:t>
  </x:si>
  <x:si>
    <x:t xml:space="preserve">보안설계서/AI운영정책</x:t>
  </x:si>
  <x:si>
    <x:t xml:space="preserve">저장소·이미지·프론트 번들에서 API 키가 발견되지 않는다. 모델 ID를 설정만 바꿔 교체할 수 있다. 요청에 store=false가 들어가고 Files API에 남은 파일이 없다. '이전 지시를 무시하라' 문장을 넣은 시험 문서가 동작을 바꾸지 못한다. 권한 밖 데이터를 묻는 시험 질문이 거절된다. 제공 키로 텍스트→JSON 요청과 대표 문서 요청이 확인되고 토큰·비용이 기록된다. 401·쿼터 소진을 흉내 내면 재시도 폭주 없이 기본 업무와 규칙형 안내가 동작한다.</x:t>
  </x:si>
  <x:si>
    <x:t xml:space="preserve">개발·운영 상시.</x:t>
  </x:si>
  <x:si>
    <x:t xml:space="preserve">환경변수·Secrets로 키 주입. LLM 호출을 한 서비스로 모아 로깅·차단 규칙을 한 곳에 둔다.</x:t>
  </x:si>
  <x:si>
    <x:t xml:space="preserve">요구사항부터 설계·코드·테스트·증적까지 양방향 추적 가능해야 한다.</x:t>
  </x:si>
  <x:si>
    <x:t xml:space="preserve">요구사항ID를 GitHub Issue, 문서, PR, 테스트케이스에 사용한다.</x:t>
  </x:si>
  <x:si>
    <x:t xml:space="preserve">RTM/산출물목록</x:t>
  </x:si>
  <x:si>
    <x:t xml:space="preserve">표본 요구사항에서 요구→설계→PR→테스트→결과를 5분 이내 추적할 수 있다.</x:t>
  </x:si>
  <x:si>
    <x:t xml:space="preserve">요구사항ID를 GitHub Issue·PR·커밋·테스트에 표기.</x:t>
  </x:si>
  <x:si>
    <x:t xml:space="preserve">단일 배포 단위 안에서 도메인 모듈 간 책임과 의존성을 분리해야 한다.</x:t>
  </x:si>
  <x:si>
    <x:t xml:space="preserve">auth, base(기준정보), policy, contract, transaction(지급 건), schedule, cap, arbitrage, journal(원장), reconciliation, exceptioncase, validation, audit, dashboard, common을 기본으로 하고, 2차 신규 도메인(환수 등)은 별도 패키지로 추가한다.</x:t>
  </x:si>
  <x:si>
    <x:t xml:space="preserve">아키텍처설계서/패키지구조도/ADR</x:t>
  </x:si>
  <x:si>
    <x:t xml:space="preserve">순환 의존이 없고 모듈 의존규칙을 ArchUnit 또는 코드리뷰로 검증한다.</x:t>
  </x:si>
  <x:si>
    <x:t xml:space="preserve">설계·개발 상시</x:t>
  </x:si>
  <x:si>
    <x:t xml:space="preserve">1차부터 schedule·reconciliation을 포함한다(FUN-036·048 1차). 패키지 순환 의존은 ArchitecturePackageCycleTest로 검증한다.</x:t>
  </x:si>
  <x:si>
    <x:t xml:space="preserve">보강 — 1차 모듈에 compensation(지급 건) 추가 · 2026-10-11: 모듈 목록을 실제 패키지 구조로 정정, schedule·reconciliation 2차 표기 삭제</x:t>
  </x:si>
  <x:si>
    <x:t xml:space="preserve">Java·SQL·TypeScript·Git 작성 규칙을 팀 표준으로 적용해야 한다.</x:t>
  </x:si>
  <x:si>
    <x:t xml:space="preserve">네이밍, 예외처리, 금액계산, 주석, 로깅, DTO/Entity 경계와 금지사항을 정의한다.</x:t>
  </x:si>
  <x:si>
    <x:t xml:space="preserve">개발표준가이드/린트설정</x:t>
  </x:si>
  <x:si>
    <x:t xml:space="preserve">정적분석·포맷터·리뷰 체크리스트로 주요 위반이 차단된다.</x:t>
  </x:si>
  <x:si>
    <x:t xml:space="preserve">코딩 컨벤션 문서 1장 + 리뷰에서 상호 점검.</x:t>
  </x:si>
  <x:si>
    <x:t xml:space="preserve">모든 운영 브랜치 반영은 PR과 최소 1인 리뷰를 거쳐야 한다.</x:t>
  </x:si>
  <x:si>
    <x:t xml:space="preserve">요구사항ID, 변경내용, 테스트결과, 영향범위, 스크린샷/API 증적을 PR에 포함한다.</x:t>
  </x:si>
  <x:si>
    <x:t xml:space="preserve">PR템플릿/리뷰체크리스트</x:t>
  </x:si>
  <x:si>
    <x:t xml:space="preserve">main/develop 병합 이력 중 승인 없는 직접 병합이 없다.</x:t>
  </x:si>
  <x:si>
    <x:t xml:space="preserve">PR 템플릿에 요구사항ID·테스트·스크린샷 칸.</x:t>
  </x:si>
  <x:si>
    <x:t xml:space="preserve">요청과 배치 실행을 추적할 수 있는 구조화 로그를 제공해야 한다.</x:t>
  </x:si>
  <x:si>
    <x:t xml:space="preserve">request_id, user_id, tenant_id, job_id를 포함하되 민감정보는 제외한다.</x:t>
  </x:si>
  <x:si>
    <x:t xml:space="preserve">로깅표준/로그샘플</x:t>
  </x:si>
  <x:si>
    <x:t xml:space="preserve">화면 오류의 추적ID로 API·배치 로그를 연계 조회할 수 있다.</x:t>
  </x:si>
  <x:si>
    <x:t xml:space="preserve">request_id를 로그 공통 포맷에 포함(MDC).</x:t>
  </x:si>
  <x:si>
    <x:t xml:space="preserve">실패한 검증 실행·배치·업무처리를 원인 파악 후 안전하게 재처리할 수 있어야 한다.</x:t>
  </x:si>
  <x:si>
    <x:t xml:space="preserve">실패한 배치·업무처리를 원인 파악 후 안전하게 재처리할 수 있어야 한다. 실패상태, 오류원인, 재처리 가능여부, 재처리자·사유를 기록한다.</x:t>
  </x:si>
  <x:si>
    <x:t xml:space="preserve">운영설계서/복구절차서</x:t>
  </x:si>
  <x:si>
    <x:t xml:space="preserve">대표 실패 시나리오에서 데이터 수동 삭제 없이 재처리에 성공한다.</x:t>
  </x:si>
  <x:si>
    <x:t xml:space="preserve">실패 상태 컬럼 + 재실행 시 멱등키가 중복을 방지.</x:t>
  </x:si>
  <x:si>
    <x:t xml:space="preserve">정산담당자가 오류 없이 업무를 수행할 수 있도록 가독성과 접근성을 확보해야 한다.</x:t>
  </x:si>
  <x:si>
    <x:t xml:space="preserve">키보드 탐색, 명확한 레이블, 색상 외 상태표시, 표 헤더와 오류 안내를 적용한다.</x:t>
  </x:si>
  <x:si>
    <x:t xml:space="preserve">UI가이드/사용성테스트결과</x:t>
  </x:si>
  <x:si>
    <x:t xml:space="preserve">사용성 테스트 참가자가 핵심 시나리오를 도움 없이 완료한다.</x:t>
  </x:si>
  <x:si>
    <x:t xml:space="preserve">명확한 레이블·오류 안내·색 이외 상태 표시.</x:t>
  </x:si>
  <x:si>
    <x:t xml:space="preserve">요구사항·API·DB·배포 문서가 실제 구현과 일치해야 한다.</x:t>
  </x:si>
  <x:si>
    <x:t xml:space="preserve">PR 완료조건에 관련 문서 갱신 여부를 포함한다.</x:t>
  </x:si>
  <x:si>
    <x:t xml:space="preserve">산출물검토표/릴리스체크리스트</x:t>
  </x:si>
  <x:si>
    <x:t xml:space="preserve">릴리스 표본 점검에서 문서와 구현 간 중대 불일치가 없다.</x:t>
  </x:si>
  <x:si>
    <x:t xml:space="preserve">PR 완료 조건에 문서 갱신 체크.</x:t>
  </x:si>
  <x:si>
    <x:t xml:space="preserve">FGC는 수수료 계산·검증·업무관리 시스템이며 실제 송금·자금보관을 수행하지 않는다.</x:t>
  </x:si>
  <x:si>
    <x:t xml:space="preserve">지급확정은 업무상 상태이며 은행·PG 이체 기능은 범위에서 제외한다.</x:t>
  </x:si>
  <x:si>
    <x:t xml:space="preserve">범위정의서</x:t>
  </x:si>
  <x:si>
    <x:t xml:space="preserve">화면·API·데모에 실제 금융거래 실행 기능이 존재하지 않는다.</x:t>
  </x:si>
  <x:si>
    <x:t xml:space="preserve">상시(범위 원칙)</x:t>
  </x:si>
  <x:si>
    <x:t xml:space="preserve">지급확정은 상태값일 뿐 — 이체 API를 만들지 않는다.</x:t>
  </x:si>
  <x:si>
    <x:t xml:space="preserve">인사·급여·CRM·회계·세무 등 GA 전사 ERP 전체를 구축하지 않는다.</x:t>
  </x:si>
  <x:si>
    <x:t xml:space="preserve">수수료 규제대응·정산검증 통제계층에 범위를 한정한다.</x:t>
  </x:si>
  <x:si>
    <x:t xml:space="preserve">범위정의서/WBS</x:t>
  </x:si>
  <x:si>
    <x:t xml:space="preserve">백로그와 화면목록에 범위 외 ERP 기능이 P0/P1로 포함되지 않는다.</x:t>
  </x:si>
  <x:si>
    <x:t xml:space="preserve">수수료 검증·정산에만 집중.</x:t>
  </x:si>
  <x:si>
    <x:t xml:space="preserve">보험상품 설계·보험료 산출·언더라이팅·보험금 지급 업무를 구현하지 않는다.</x:t>
  </x:si>
  <x:si>
    <x:t xml:space="preserve">수수료 정산에 필요한 최소 계약·상품 속성만 관리한다.</x:t>
  </x:si>
  <x:si>
    <x:t xml:space="preserve">범위정의서/용어사전</x:t>
  </x:si>
  <x:si>
    <x:t xml:space="preserve">보험계약 인수·보험금 청구·지급 기능이 범위에 포함되지 않는다.</x:t>
  </x:si>
  <x:si>
    <x:t xml:space="preserve">계약·상품은 정산에 필요한 최소 속성만.</x:t>
  </x:si>
  <x:si>
    <x:t xml:space="preserve">보험회사·상품·계약일별 금액·요율·환수 규칙을 코드 상수로 고정하지 않는다.</x:t>
  </x:si>
  <x:si>
    <x:t xml:space="preserve">정책 데이터·버전·플러그인 구조를 사용하고 근거 없는 요율을 금지한다.</x:t>
  </x:si>
  <x:si>
    <x:t xml:space="preserve">개발표준/정책설계서/ADR</x:t>
  </x:si>
  <x:si>
    <x:t xml:space="preserve">핵심 요율 변경이 정책 데이터 변경으로 적용된다.</x:t>
  </x:si>
  <x:si>
    <x:t xml:space="preserve">상시(개발 원칙)</x:t>
  </x:si>
  <x:si>
    <x:t xml:space="preserve">요율·한도는 전부 정책 테이블에서 읽는다. 코드 상수 발견 시 리뷰에서 반려.</x:t>
  </x:si>
  <x:si>
    <x:t xml:space="preserve">실제 고객·설계사 개인정보와 영업비밀성 수수료표는 승인 없이 사용하지 않는다.</x:t>
  </x:si>
  <x:si>
    <x:t xml:space="preserve">합성·익명화 데이터를 기본으로 한다.</x:t>
  </x:si>
  <x:si>
    <x:t xml:space="preserve">데이터사용정책/합성데이터명세</x:t>
  </x:si>
  <x:si>
    <x:t xml:space="preserve">저장소·DB·발표자료에 승인되지 않은 실데이터가 존재하지 않는다.</x:t>
  </x:si>
  <x:si>
    <x:t xml:space="preserve">상시</x:t>
  </x:si>
  <x:si>
    <x:t xml:space="preserve">합성·익명화 데이터만.</x:t>
  </x:si>
  <x:si>
    <x:t xml:space="preserve">5인·단기 프로젝트에서 성능근거 없는 MSA와 Kafka 도입을 금지한다.</x:t>
  </x:si>
  <x:si>
    <x:t xml:space="preserve">Modular Monolith를 기본으로 하며 필요성은 ADR과 성능근거로만 재검토한다.</x:t>
  </x:si>
  <x:si>
    <x:t xml:space="preserve">아키텍처원칙/ADR</x:t>
  </x:si>
  <x:si>
    <x:t xml:space="preserve">1차·2차 배포가 단일 애플리케이션 중심이며 불필요한 분산 의존성이 없다.</x:t>
  </x:si>
  <x:si>
    <x:t xml:space="preserve">상시(아키텍처 원칙)</x:t>
  </x:si>
  <x:si>
    <x:t xml:space="preserve">Modular Monolith 유지. MSA·Kafka 제안은 ADR(설계 결정 기록)로만.</x:t>
  </x:si>
  <x:si>
    <x:t xml:space="preserve">AI는 지급액·한도·환수액을 확정하거나 원장을 직접 변경해서는 안 된다.</x:t>
  </x:si>
  <x:si>
    <x:t xml:space="preserve">AI는 설명, 검색, 요약 등 보조기능에 한정한다. 지급액·한도·환수액을 확정하거나 원장을 직접 변경해서는 안 된다.</x:t>
  </x:si>
  <x:si>
    <x:t xml:space="preserve">AI사용원칙/ADR</x:t>
  </x:si>
  <x:si>
    <x:t xml:space="preserve">핵심 금액계산 경로에 비결정적 AI 호출이 없고 AI 출력이 자동 원장반영되지 않는다.</x:t>
  </x:si>
  <x:si>
    <x:t xml:space="preserve">상시(원칙)</x:t>
  </x:si>
  <x:si>
    <x:t xml:space="preserve">AI 산출물은 사람 확인 후 반영.</x:t>
  </x:si>
  <x:si>
    <x:t xml:space="preserve">사용 라이브러리·폰트·아이콘·데이터의 라이선스를 확인해야 한다.</x:t>
  </x:si>
  <x:si>
    <x:t xml:space="preserve">프로젝트 목적과 충돌하는 라이선스는 사용하지 않는다.</x:t>
  </x:si>
  <x:si>
    <x:t xml:space="preserve">오픈소스목록/SBOM/라이선스점검표</x:t>
  </x:si>
  <x:si>
    <x:t xml:space="preserve">배포 산출물 주요 의존성 라이선스가 목록화되고 금지 라이선스가 없다.</x:t>
  </x:si>
  <x:si>
    <x:t xml:space="preserve">라이브러리 추가 시 라이선스 확인 후 목록 기록.</x:t>
  </x:si>
  <x:si>
    <x:t xml:space="preserve">본 시스템과 계산결과는 교육용 프로토타입임을 표시해야 한다.</x:t>
  </x:si>
  <x:si>
    <x:t xml:space="preserve">정책·환수 예시는 가정과 출처를 표시하고 상용화 전 전문가 검토 필요를 명시한다.</x:t>
  </x:si>
  <x:si>
    <x:t xml:space="preserve">면책문구/발표자료/사용자가이드</x:t>
  </x:si>
  <x:si>
    <x:t xml:space="preserve">화면에는 교육용 문구를 표기하지 않는다. 교육용 고지와 기준일은 산출물 문서 표지·README·발표자료에 표시된다.</x:t>
  </x:si>
  <x:si>
    <x:t xml:space="preserve">화면 미표기(시연 사실감). 고지는 산출물 문서 표지·README·발표자료에만 둔다. 회귀 가드: ScreenViewControllerTest.prototype_disclaimer_is_not_exposed.</x:t>
  </x:si>
  <x:si>
    <x:t xml:space="preserve">2026-10-11: 화면 표기 삭제 반영(팀 결정 2026-08-12, 사용자 확인 2026-10-11)</x:t>
  </x:si>
  <x:si>
    <x:t xml:space="preserve">원수사가 제공하는 모든 데이터(수수료율표, 지급방식표, 환수율표, 해약환급금표, 시책표, 지급명세 등)는 FGC 표준 구조로 정규화되어 DB에 이미 적재되어 있다고 전제한다.</x:t>
  </x:si>
  <x:si>
    <x:t xml:space="preserve">파일 수집·업로드·컬럼 매핑·중복 수집 방지 기능은 v2.0 범위에서 제외한다(구 FUN-019~024, SIR-003·004, DAR-006, PER-002 삭제). 적재는 시드 데이터(DAR-011)로 수행한다. 2차 한정 예외(OI-021, 2026-10-22 결정): 사람이 받은 문서를 올리는 "입력 보조"만 허용한다 — 허용 서식은 구현된 것만(Must: 예상 해약환급률표·보험사 정산데이터·협회 비교설명 등급자료), 개인정보 없는 합성·가상 문서만, 사람이 검토·확정한 결과만 기존 저장 경로(원천 명세 적재·정책 DRAFT)로 반영(FUN-066~069, COR-007). 원수사 사이트 자동 접속·스크래핑·RPA·서식 제한 없는 수집·컬럼 매핑 마스터는 계속 제외한다. 1차와 시드 적재(DAR-011) 전제는 그대로다.</x:t>
  </x:si>
  <x:si>
    <x:t xml:space="preserve">요구사항명세서/ERD/시드 데이터 킷</x:t>
  </x:si>
  <x:si>
    <x:t xml:space="preserve">1차: 요구사항·화면·API·데모 시나리오에 CSV/Excel 업로드·컬럼매핑·스테이징 단계가 없고, 합성 시드와 수기 입력만으로 1차 검증 데모가 가능하다. 2차: 업로드·추출은 OI-021 예외 범위(허용 서식·합성 문서·사람 확정)에서만 존재하고, 원수사 자동 수집·RPA·컬럼 매핑 마스터는 없으며, 시드 적재만으로도 검증 데모가 가능하다.</x:t>
  </x:si>
  <x:si>
    <x:t xml:space="preserve">상시(범위 원칙).</x:t>
  </x:si>
  <x:si>
    <x:t xml:space="preserve">1차 패키지·ERD에서 ingestion/upload/staging 모듈을 제외한다. 기존 설계의 관련 테이블은 2차 검토용 문서에만 보관한다.</x:t>
  </x:si>
  <x:si>
    <x:t xml:space="preserve">동일 계약·회차·수수료항목이 두 번 확정되는 것을 시스템적으로 방지해야 한다.</x:t>
  </x:si>
  <x:si>
    <x:t xml:space="preserve">업무 유니크키, 멱등키, 트랜잭션과 마감검증을 적용한다.</x:t>
  </x:si>
  <x:si>
    <x:t xml:space="preserve">안전설계서/멱등성시험결과서</x:t>
  </x:si>
  <x:si>
    <x:t xml:space="preserve">동시·재실행 테스트에서 중복 확정건수 0건을 유지한다.</x:t>
  </x:si>
  <x:si>
    <x:t xml:space="preserve">상시(정산·지급 건 처리 시)</x:t>
  </x:si>
  <x:si>
    <x:t xml:space="preserve">DB UNIQUE(스키마 패치 v1.1) + 트랜잭션 + 마감 검증 3중 방어.</x:t>
  </x:si>
  <x:si>
    <x:t xml:space="preserve">필수 정책·데이터가 없거나 계산이 불확실한 경우 임의 금액을 생성하지 않아야 한다.</x:t>
  </x:si>
  <x:si>
    <x:t xml:space="preserve">Fail-Closed 원칙으로 지급확정을 차단하고 예외 건을 생성한다.</x:t>
  </x:si>
  <x:si>
    <x:t xml:space="preserve">오류처리설계서/테스트결과서</x:t>
  </x:si>
  <x:si>
    <x:t xml:space="preserve">정책 누락·코드 미매핑·음수 이상값 시 정상 지급상태로 진행되지 않는다.</x:t>
  </x:si>
  <x:si>
    <x:t xml:space="preserve">상시(계산 시)</x:t>
  </x:si>
  <x:si>
    <x:t xml:space="preserve">필수 정책·데이터 없으면 확정 차단(Fail-Closed: 불확실하면 멈춤) + 예외 생성.</x:t>
  </x:si>
  <x:si>
    <x:t xml:space="preserve">마감된 정산과 확정 원장을 일반 수정 기능으로 변경하지 않아야 한다.</x:t>
  </x:si>
  <x:si>
    <x:t xml:space="preserve">정정·역분개와 승인 절차만 허용한다.</x:t>
  </x:si>
  <x:si>
    <x:t xml:space="preserve">마감통제설계서/권한매트릭스/감사로그</x:t>
  </x:si>
  <x:si>
    <x:t xml:space="preserve">마감 건 수정 시도가 차단되고 정정거래만 생성 가능하다.</x:t>
  </x:si>
  <x:si>
    <x:t xml:space="preserve">1차는 FINALIZED 검증 실행 잠금(FUN-044, SRC-027 D-02)과 원장 역분개 정정(FUN-047)으로 적용하고, 2차에 마감·승인 절차를 추가한다.</x:t>
  </x:si>
  <x:si>
    <x:t xml:space="preserve">마감 검사 공통 로직 + 정정·역분개 경로만 허용.</x:t>
  </x:si>
  <x:si>
    <x:t xml:space="preserve">2026-10-11: "원장 도입 후 2차" 시점 문구 정정 — 원장·역분개는 v2.2부터 1차(FUN-046·047), 실행 잠금은 SRC-027 D-02</x:t>
  </x:si>
  <x:si>
    <x:t xml:space="preserve">배포 실패 시 이전 버전으로 롤백하고 데이터 정합성을 보존해야 한다.</x:t>
  </x:si>
  <x:si>
    <x:t xml:space="preserve">DB 마이그레이션 하위호환 또는 롤백계획과 배포 전 백업을 적용한다.</x:t>
  </x:si>
  <x:si>
    <x:t xml:space="preserve">배포·롤백절차서/복구시험결과</x:t>
  </x:si>
  <x:si>
    <x:t xml:space="preserve">Stage에서 실패 배포 후 이전 버전 복구와 핵심 조회 정상화를 시연한다.</x:t>
  </x:si>
  <x:si>
    <x:t xml:space="preserve">마이그레이션 하위호환 + 배포 전 백업.</x:t>
  </x:si>
  <x:si>
    <x:t xml:space="preserve">요구사항정의서의 승인 버전을 베이스라인으로 지정하고 변경을 통제해야 한다.</x:t>
  </x:si>
  <x:si>
    <x:t xml:space="preserve">요구사항 추가·삭제·변경 시 변경사유, 영향, 승인자와 버전을 기록한다.</x:t>
  </x:si>
  <x:si>
    <x:t xml:space="preserve">요구사항정의서/변경이력/변경요청서</x:t>
  </x:si>
  <x:si>
    <x:t xml:space="preserve">베이스라인 이후 변경 요구사항은 변경이력과 GitHub Issue에 연결된다.</x:t>
  </x:si>
  <x:si>
    <x:t xml:space="preserve">현행 베이스라인은 v2.2.2(2026-08-04). 이후 교정은 Z1_개정이력에 v2.2.2-rN으로 기록한다.</x:t>
  </x:si>
  <x:si>
    <x:t xml:space="preserve">보강 — v2.0 베이스라인 갱신 · 2026-10-11: 베이스라인 표기를 v2.0→v2.2.2로 정정</x:t>
  </x:si>
  <x:si>
    <x:t xml:space="preserve">요구사항을 GitHub Issue로 분해하고 우선순위·릴리스·담당자를 관리해야 한다.</x:t>
  </x:si>
  <x:si>
    <x:t xml:space="preserve">각 작업은 GitHub Issue로 만들고 상위 이슈와 하위 이슈로 묶는다. 이슈 본문에 요구사항ID·인수조건·담당자를 적고, 전체 이슈와 각자 진행 중인 이슈는 GitHub Projects 보드에서 본다. Jira는 초기에 시도했으나 쓰지 않는다.</x:t>
  </x:si>
  <x:si>
    <x:t xml:space="preserve">GitHub Issues/Projects 보드/이슈 템플릿</x:t>
  </x:si>
  <x:si>
    <x:t xml:space="preserve">M 요구사항이 최소 1개 GitHub Issue에 연결되고 GitHub Projects 보드에서 상태를 추적할 수 있다.</x:t>
  </x:si>
  <x:si>
    <x:t xml:space="preserve">GitHub Issue·PR·Projects. 브랜치·PR은 이슈 번호로 연결한다(CONTRIBUTING.md).</x:t>
  </x:si>
  <x:si>
    <x:t xml:space="preserve">보강 — 수집 Epic 제거 · 2026-10-11: Jira 미사용 — GitHub Issues·Projects로 정정(사용자 확인)</x:t>
  </x:si>
  <x:si>
    <x:t xml:space="preserve">산출물과 의사결정, 회의 기록을 정해진 도구에 나눠 관리해야 한다.</x:t>
  </x:si>
  <x:si>
    <x:t xml:space="preserve">산출물·ADR은 저장소 docs/, 주간 회의록과 데일리 스크럼은 Notion, 개인 일정 공유는 Google Calendar, 매일 작업 화면 공유는 Discord를 쓴다. 문서ID·버전·작성·검토·승인자를 기록한다.</x:t>
  </x:si>
  <x:si>
    <x:t xml:space="preserve">문서관리계획/산출물목록/ADR</x:t>
  </x:si>
  <x:si>
    <x:t xml:space="preserve">주요 산출물 최신본과 승인상태를 3분 이내 찾을 수 있다.</x:t>
  </x:si>
  <x:si>
    <x:t xml:space="preserve">docs/(산출물·ADR) + Notion(주간 회의록·데일리 스크럼) + Google Calendar(일정) + Discord(작업 화면 공유).</x:t>
  </x:si>
  <x:si>
    <x:t xml:space="preserve">2026-10-11: Confluence 미사용 — 실제 도구로 정정(사용자 확인)</x:t>
  </x:si>
  <x:si>
    <x:t xml:space="preserve">개발·릴리스·긴급수정 흐름을 지원하는 경량 브랜치 전략을 적용해야 한다.</x:t>
  </x:si>
  <x:si>
    <x:t xml:space="preserve">main·develop은 직접 push를 막고 PR로만 병합한다. 작업 브랜치는 feature/{이슈번호}-{도메인}-{작업내용}, fix/{이슈번호}-{도메인}-{설명}, refactor/{이슈번호}-{도메인}-{설명}, docs/{이슈번호}-{설명}, hotfix/{이슈번호}-{설명}, release/{버전}을 쓰며 이슈번호는 GitHub Issue 번호다(CONTRIBUTING.md §1·§2).</x:t>
  </x:si>
  <x:si>
    <x:t xml:space="preserve">형상관리계획서/브랜치규칙</x:t>
  </x:si>
  <x:si>
    <x:t xml:space="preserve">모든 기능 브랜치명이 규칙을 따르고 main/develop 보호규칙이 적용된다.</x:t>
  </x:si>
  <x:si>
    <x:t xml:space="preserve">CONTRIBUTING.md §2 규칙. 예: feature/417-frontend-error, feature/12-contract-create.</x:t>
  </x:si>
  <x:si>
    <x:t xml:space="preserve">2026-10-11: 브랜치 규칙을 CONTRIBUTING.md §2로 정정</x:t>
  </x:si>
  <x:si>
    <x:t xml:space="preserve">이슈·PR·커밋 메시지에 추적 가능한 표준을 적용해야 한다.</x:t>
  </x:si>
  <x:si>
    <x:t xml:space="preserve">커밋은 Conventional Commits 형식(예: feat(contract): 계약 등록 API 구현)을 쓰고 본문에 Related to #이슈번호를 단다. PR 제목은 [유형] FUN-번호 또는 화면ID 작업 내용 형식이며 요구사항ID·테스트·영향·증적을 포함한다(CONTRIBUTING.md §3·§5).</x:t>
  </x:si>
  <x:si>
    <x:t xml:space="preserve">협업컨벤션/템플릿</x:t>
  </x:si>
  <x:si>
    <x:t xml:space="preserve">표본 PR과 커밋이 규칙을 준수하고 요구사항·GitHub Issue로 역추적된다.</x:t>
  </x:si>
  <x:si>
    <x:t xml:space="preserve">커밋·PR에 요구사항ID 표기.</x:t>
  </x:si>
  <x:si>
    <x:t xml:space="preserve">2026-10-11: 커밋·PR 예시를 CONTRIBUTING.md 규칙으로 정정</x:t>
  </x:si>
  <x:si>
    <x:t xml:space="preserve">1~2주 스프린트로 계획·데일리·리뷰·회고를 운영해야 한다.</x:t>
  </x:si>
  <x:si>
    <x:t xml:space="preserve">1차는 짧은 고정 스프린트와 데모 중심, 2차는 제품·품질·배포 백로그를 통합 운영한다.</x:t>
  </x:si>
  <x:si>
    <x:t xml:space="preserve">스프린트계획/리뷰자료/회고록</x:t>
  </x:si>
  <x:si>
    <x:t xml:space="preserve">각 스프린트에 목표·완료조건·리뷰결과·미완료 이월사유가 기록된다.</x:t>
  </x:si>
  <x:si>
    <x:t xml:space="preserve">1차는 1주 스프린트 3회로 운영했다. 2차는 2026-09-22~11-16 8주를 주 단위(W1~W8)로 나누고 게이트 M0~M4에서 진척을 판정한다. 주간 회의록·데일리 스크럼은 Notion, 진행 현황은 GitHub Projects로 본다.</x:t>
  </x:si>
  <x:si>
    <x:t xml:space="preserve">2026-10-11: 2차 운영 방식(2차 마스터플랜 W1~W8·M0~M4)으로 갱신</x:t>
  </x:si>
  <x:si>
    <x:t xml:space="preserve">1차 2026-08-24와 2차 2026-11-16 마일스톤 기준으로 일정을 관리해야 한다.</x:t>
  </x:si>
  <x:si>
    <x:t xml:space="preserve">1차 개발 마감 2026-08-23·발표 08-24, 2차 코드 동결 2026-11-06·발표·시연 11-16(M4) 기준으로 일정을 관리한다. 코드프리즈, 리허설과 버퍼를 포함한다.</x:t>
  </x:si>
  <x:si>
    <x:t xml:space="preserve">WBS/마일스톤계획/진척보고</x:t>
  </x:si>
  <x:si>
    <x:t xml:space="preserve">주간 진척률과 지연 사유·회복계획이 갱신되고 마일스톤 전 리허설 일정이 확보된다.</x:t>
  </x:si>
  <x:si>
    <x:t xml:space="preserve">1차는 발표 전일 = 개발 마감. 2차는 코드 동결(11-06) 이후 리허설(11-10·11-12·11-13)·hotfix만 한다.</x:t>
  </x:si>
  <x:si>
    <x:t xml:space="preserve">보강 — 개발 마감일(발표 전일) 명시 · 2026-10-11: 2차 일정을 2차 마스터플랜(발표 11-16, 코드 동결 11-06)으로 정정</x:t>
  </x:si>
  <x:si>
    <x:t xml:space="preserve">도메인·범위·일정·품질·인프라 리스크와 발생 이슈를 관리해야 한다.</x:t>
  </x:si>
  <x:si>
    <x:t xml:space="preserve">확률·영향·등급·대응·담당·기한을 기록하고 주간회의에서 검토한다.</x:t>
  </x:si>
  <x:si>
    <x:t xml:space="preserve">리스크등록부/이슈로그</x:t>
  </x:si>
  <x:si>
    <x:t xml:space="preserve">상위 리스크에 대응계획과 담당자가 있고 상태가 주 1회 이상 갱신된다.</x:t>
  </x:si>
  <x:si>
    <x:t xml:space="preserve">리스크 표 주간 점검.</x:t>
  </x:si>
  <x:si>
    <x:t xml:space="preserve">요구사항·정책·DB·API 변경 전에 일정·설계·테스트·데이터 영향도를 분석해야 한다.</x:t>
  </x:si>
  <x:si>
    <x:t xml:space="preserve">RTM과 의존 요구사항을 사용해 영향대상과 회귀테스트 범위를 결정한다.</x:t>
  </x:si>
  <x:si>
    <x:t xml:space="preserve">영향분석서/변경요청서</x:t>
  </x:si>
  <x:si>
    <x:t xml:space="preserve">중대 변경 PR에 영향분석과 관련 회귀테스트가 첨부된다.</x:t>
  </x:si>
  <x:si>
    <x:t xml:space="preserve">변경 발생 시</x:t>
  </x:si>
  <x:si>
    <x:t xml:space="preserve">RTM으로 영향 범위 확인 후 결정.</x:t>
  </x:si>
  <x:si>
    <x:t xml:space="preserve">병합·릴리스·발표 전에 통과해야 할 품질 기준을 정의해야 한다.</x:t>
  </x:si>
  <x:si>
    <x:t xml:space="preserve">빌드, 테스트, 정적분석, 취약점, 문서, 데모 리허설의 기준을 단계별로 둔다.</x:t>
  </x:si>
  <x:si>
    <x:t xml:space="preserve">품질보증계획서/체크리스트</x:t>
  </x:si>
  <x:si>
    <x:t xml:space="preserve">품질 게이트 미통과 버전은 릴리스 태그와 발표 배포 대상이 되지 않는다.</x:t>
  </x:si>
  <x:si>
    <x:t xml:space="preserve">병합·릴리스 전</x:t>
  </x:si>
  <x:si>
    <x:t xml:space="preserve">빌드+테스트+리뷰 통과를 최소 게이트로.</x:t>
  </x:si>
  <x:si>
    <x:t xml:space="preserve">1차·2차 릴리스의 버전, 변경내역, 배포산출물과 롤백대상을 관리해야 한다.</x:t>
  </x:si>
  <x:si>
    <x:t xml:space="preserve">Semantic Versioning과 Git Tag, Release Note를 사용한다.</x:t>
  </x:si>
  <x:si>
    <x:t xml:space="preserve">릴리스계획/Release Note/배포목록</x:t>
  </x:si>
  <x:si>
    <x:t xml:space="preserve">발표 버전 태그의 코드·문서·DB버전·이미지를 재현할 수 있다.</x:t>
  </x:si>
  <x:si>
    <x:t xml:space="preserve">릴리스 시</x:t>
  </x:si>
  <x:si>
    <x:t xml:space="preserve">태그 + 릴리스 노트.</x:t>
  </x:si>
  <x:si>
    <x:t xml:space="preserve">요구사항·설계·테스트·배포 산출물의 작성·검토·승인 책임을 정의해야 한다.</x:t>
  </x:si>
  <x:si>
    <x:t xml:space="preserve">산출물별 RACI와 완료조건을 지정하고 승인본을 변경통제한다.</x:t>
  </x:si>
  <x:si>
    <x:t xml:space="preserve">산출물관리대장/RACI/검토기록</x:t>
  </x:si>
  <x:si>
    <x:t xml:space="preserve">필수 산출물에 작성자·검토자·승인자·버전·일자가 기록된다.</x:t>
  </x:si>
  <x:si>
    <x:t xml:space="preserve">산출물 완료 시</x:t>
  </x:si>
  <x:si>
    <x:t xml:space="preserve">산출물별 검토자 지정.</x:t>
  </x:si>
  <x:si>
    <x:t xml:space="preserve">팀원 전원이 GA·설계사·1200%룰·분급·환수·대사 기본개념을 학습해야 한다.</x:t>
  </x:si>
  <x:si>
    <x:t xml:space="preserve">용어사전, 상태흐름, 예시계약과 퀴즈·스터디를 운영한다.</x:t>
  </x:si>
  <x:si>
    <x:t xml:space="preserve">온보딩문서/용어사전/스터디기록</x:t>
  </x:si>
  <x:si>
    <x:t xml:space="preserve">팀원 전원이 해지 이벤트가 스케줄·정산·환수에 미치는 영향을 설명할 수 있다.</x:t>
  </x:si>
  <x:si>
    <x:t xml:space="preserve">공통 상시(주 1회 스터디)</x:t>
  </x:si>
  <x:si>
    <x:t xml:space="preserve">용어사전·업무흐름 시트로 온보딩, 퀴즈로 확인.</x:t>
  </x:si>
  <x:si>
    <x:t xml:space="preserve">신규 팀원이 문서만으로 로컬 개발환경을 빠르게 구성할 수 있어야 한다.</x:t>
  </x:si>
  <x:si>
    <x:t xml:space="preserve">README, 환경변수 예시, Docker Compose, 샘플데이터와 초기화 스크립트를 제공한다.</x:t>
  </x:si>
  <x:si>
    <x:t xml:space="preserve">README/환경구성스크립트/샘플데이터</x:t>
  </x:si>
  <x:si>
    <x:t xml:space="preserve">새 환경에서 30분 이내 애플리케이션·DB를 구동하고 로그인할 수 있다.</x:t>
  </x:si>
  <x:si>
    <x:t xml:space="preserve">1차 개발 초기</x:t>
  </x:si>
  <x:si>
    <x:t xml:space="preserve">README + docker-compose + 시드 스크립트 = 30분 내 구동 목표.</x:t>
  </x:si>
  <x:si>
    <x:t xml:space="preserve">프론트·QA·발표자가 API를 독립적으로 확인할 수 있는 자산을 제공해야 한다.</x:t>
  </x:si>
  <x:si>
    <x:t xml:space="preserve">환경별 변수, 인증, 정상·오류 예시와 실행순서를 포함한다.</x:t>
  </x:si>
  <x:si>
    <x:t xml:space="preserve">Swagger UI/Postman Collection/사용가이드</x:t>
  </x:si>
  <x:si>
    <x:t xml:space="preserve">Postman Collection의 핵심 요청이 지정 환경에서 순서대로 성공한다.</x:t>
  </x:si>
  <x:si>
    <x:t xml:space="preserve">Postman Collection을 저장소에 커밋.</x:t>
  </x:si>
  <x:si>
    <x:t xml:space="preserve">정산담당자와 시스템관리자가 주요 업무와 오류대응 방법을 이해할 수 있어야 한다.</x:t>
  </x:si>
  <x:si>
    <x:t xml:space="preserve">계약·정책·정산·대사·예외·사용자·배포별 절차와 화면을 포함한다.</x:t>
  </x:si>
  <x:si>
    <x:t xml:space="preserve">사용자매뉴얼/관리자매뉴얼</x:t>
  </x:si>
  <x:si>
    <x:t xml:space="preserve">매뉴얼만 제공받은 사용자가 핵심 업무 시나리오를 수행할 수 있다.</x:t>
  </x:si>
  <x:si>
    <x:t xml:space="preserve">화면 캡처 포함 매뉴얼.</x:t>
  </x:si>
  <x:si>
    <x:t xml:space="preserve">배포 후 장애·배치실패·DB복구·롤백 대응절차를 제공해야 한다.</x:t>
  </x:si>
  <x:si>
    <x:t xml:space="preserve">탐지, 초기판단, 담당자, 조치, 검증, 사후기록 순서를 포함한다.</x:t>
  </x:si>
  <x:si>
    <x:t xml:space="preserve">운영Runbook/장애대응절차/연락망</x:t>
  </x:si>
  <x:si>
    <x:t xml:space="preserve">장애 모의훈련에서 Runbook을 따라 탐지·조치·복구·기록을 완료한다.</x:t>
  </x:si>
  <x:si>
    <x:t xml:space="preserve">장애 유형별 대응 절차 1쪽씩.</x:t>
  </x:si>
  <x:si>
    <x:t xml:space="preserve">발표자가 동일 데이터와 순서로 안정적으로 데모할 수 있는 패키지를 제공해야 한다.</x:t>
  </x:si>
  <x:si>
    <x:t xml:space="preserve">데모 데이터 초기화, 시나리오, 예상결과, 백업 영상, 스크린샷, 발표 대본을 포함한다.</x:t>
  </x:si>
  <x:si>
    <x:t xml:space="preserve">데모스크립트/초기화스크립트/발표자료/백업영상</x:t>
  </x:si>
  <x:si>
    <x:t xml:space="preserve">다른 팀원이 패키지만으로 10분 데모를 재현한다.</x:t>
  </x:si>
  <x:si>
    <x:t xml:space="preserve">발표 전</x:t>
  </x:si>
  <x:si>
    <x:t xml:space="preserve">초기화 스크립트 + 시나리오 대본 + 백업 영상.</x:t>
  </x:si>
  <x:si>
    <x:t xml:space="preserve">설계문서</x:t>
  </x:si>
  <x:si>
    <x:t xml:space="preserve">구현모듈</x:t>
  </x:si>
  <x:si>
    <x:t xml:space="preserve">화면·API</x:t>
  </x:si>
  <x:si>
    <x:t xml:space="preserve">테스트케이스</x:t>
  </x:si>
  <x:si>
    <x:t xml:space="preserve">추적상태</x:t>
  </x:si>
  <x:si>
    <x:t xml:space="preserve">증적·비고</x:t>
  </x:si>
  <x:si>
    <x:t xml:space="preserve">화면정의서 v2.0 AUTH-W01 · 인터페이스정의서 IF-API-01·IF-API-02 §2-1-1</x:t>
  </x:si>
  <x:si>
    <x:t xml:space="preserve">auth, common.config(SecurityConfig), frontend/features/auth</x:t>
  </x:si>
  <x:si>
    <x:t xml:space="preserve">FGC-UI-AUTH-W01 / POST /login · POST /logout · POST /api/v1/auth/login</x:t>
  </x:si>
  <x:si>
    <x:t xml:space="preserve">AuthLoginFlowTest, AuthTokenApiIntegrationTest, frontend/features/auth/auth.test.tsx</x:t>
  </x:si>
  <x:si>
    <x:t xml:space="preserve">추적완료</x:t>
  </x:si>
  <x:si>
    <x:t xml:space="preserve">SRC-004,SRC-005 | 2026-10-11 추적: 폼 로그인(1차)+JWT 공존(#400). JWT 경로 /api/v1/auth/*는 IF-API 표에 행 없음(§2-1-1에만)</x:t>
  </x:si>
  <x:si>
    <x:t xml:space="preserve">화면정의서 v2.0 전 화면 권한 · 인터페이스정의서 §2 권한열</x:t>
  </x:si>
  <x:si>
    <x:t xml:space="preserve">common.config(SecurityConfig), common.security(Roles), frontend/app/RequirePermission</x:t>
  </x:si>
  <x:si>
    <x:t xml:space="preserve">전 메뉴 / SecurityFilterChain · 403(ForbiddenPage)</x:t>
  </x:si>
  <x:si>
    <x:t xml:space="preserve">AuthLoginFlowTest, ui/SidebarSectionStateStructureTest, frontend/app/router.test.tsx</x:t>
  </x:si>
  <x:si>
    <x:t xml:space="preserve">SRC-006 | 2026-10-11 추적: 역할 4종 Roles + URL 규칙 + React RequirePermission</x:t>
  </x:si>
  <x:si>
    <x:t xml:space="preserve">화면정의서 v2.0 ADMN-W01(2차)</x:t>
  </x:si>
  <x:si>
    <x:t xml:space="preserve">FGC-UI-ADMN-W01 / -</x:t>
  </x:si>
  <x:si>
    <x:t xml:space="preserve">미착수(2차)</x:t>
  </x:si>
  <x:si>
    <x:t xml:space="preserve">v3.0 (2026-10-26, 현준): 포함 확정(S), 구현 후순위. 이전 개정은 Z1_개정이력 참조.
근거: SRC-006
이전 추적 기록: 2026-10-11 추적: 사용자 관리 API·화면 없음</x:t>
  </x:si>
  <x:si>
    <x:t xml:space="preserve">auth(AuthTokenService), application.yml(server.servlet.session.timeout=30m, fgc.jwt.access-token-ttl)</x:t>
  </x:si>
  <x:si>
    <x:t xml:space="preserve">AuthTokenApiIntegrationTest</x:t>
  </x:si>
  <x:si>
    <x:t xml:space="preserve">화면정의서 v2.0 BASE-W01 · 인터페이스정의서 IF-API-04</x:t>
  </x:si>
  <x:si>
    <x:t xml:space="preserve">base</x:t>
  </x:si>
  <x:si>
    <x:t xml:space="preserve">FGC-UI-BASE-W01 / GET /api/v1/base/organizations</x:t>
  </x:si>
  <x:si>
    <x:t xml:space="preserve">OrganizationControllerTest, OrganizationRepositoryIntegrationTest, base/controller/BaseViewIntegrationTest</x:t>
  </x:si>
  <x:si>
    <x:t xml:space="preserve">SRC-004,SRC-005 | v2.1: 1차 기준정보 CRUD 제거 | 2026-10-11 추적: 조회 전용(등록·수정 미노출). RTM 기존 경로 /api/organizations는 낡음</x:t>
  </x:si>
  <x:si>
    <x:t xml:space="preserve">화면정의서 v2.0 BASE-W01 · 인터페이스정의서 IF-API-05</x:t>
  </x:si>
  <x:si>
    <x:t xml:space="preserve">FGC-UI-BASE-W01 / GET /api/v1/base/insurers</x:t>
  </x:si>
  <x:si>
    <x:t xml:space="preserve">InsurerControllerTest, InsurerRepositoryIntegrationTest, InsurerServiceImplTest</x:t>
  </x:si>
  <x:si>
    <x:t xml:space="preserve">SRC-005 | v2.1: 1차 기준정보 CRUD 제거 | 2026-10-11 추적: RTM 기존 모듈명 organization→실제 base</x:t>
  </x:si>
  <x:si>
    <x:t xml:space="preserve">화면정의서 v2.0 BASE-W01 · 인터페이스정의서 IF-API-06</x:t>
  </x:si>
  <x:si>
    <x:t xml:space="preserve">base, contract</x:t>
  </x:si>
  <x:si>
    <x:t xml:space="preserve">FGC-UI-BASE-W01 / GET /api/v1/base/products</x:t>
  </x:si>
  <x:si>
    <x:t xml:space="preserve">ProductControllerTest, ProductRepositoryIntegrationTest, ContractServiceImplTest</x:t>
  </x:si>
  <x:si>
    <x:t xml:space="preserve">SRC-004,SRC-009,SRC-014,REG-19 | v2.2.1: REG-19 적용체계 판정 필드 추가 | 2026-10-11 추적: 상품 판매버전(product_offering) 판매기간·기초서류 버전·채널·feeRegime 조회. 계약일-판매기간 검증은 ContractServiceImpl(추정)</x:t>
  </x:si>
  <x:si>
    <x:t xml:space="preserve">화면정의서 v2.0 BASE-W01 · 인터페이스정의서 IF-API-07</x:t>
  </x:si>
  <x:si>
    <x:t xml:space="preserve">FGC-UI-BASE-W01 / GET /api/v1/base/agents</x:t>
  </x:si>
  <x:si>
    <x:t xml:space="preserve">AgentControllerTest, AgentRepositoryIntegrationTest, AgentEntityIntegrationTest</x:t>
  </x:si>
  <x:si>
    <x:t xml:space="preserve">SRC-004,SRC-005,SRC-014,REG-21 | v2.2.1: REG-21 신인 판정 필드 추가 | 2026-10-11 추적: priorThreeYearExperienceYn 등 신인판정 필드 제공</x:t>
  </x:si>
  <x:si>
    <x:t xml:space="preserve">화면정의서 v2.0 BASE-W01 · 인터페이스정의서 IF-API-08</x:t>
  </x:si>
  <x:si>
    <x:t xml:space="preserve">base, policy</x:t>
  </x:si>
  <x:si>
    <x:t xml:space="preserve">FGC-UI-BASE-W01 / GET /api/v1/base/commission-items</x:t>
  </x:si>
  <x:si>
    <x:t xml:space="preserve">CommissionItemControllerTest, CommissionItemRepositoryIntegrationTest, CommissionItemServiceTest</x:t>
  </x:si>
  <x:si>
    <x:t xml:space="preserve">SRC-001,SRC-002,SRC-004 | v2.1: 1차 항목 CRUD 제거·산입판정 책임 분리 | 2026-10-11 추적: 항목 산입·제외 판정은 cap_rule_item(룰셋 버전별)</x:t>
  </x:si>
  <x:si>
    <x:t xml:space="preserve">화면정의서 v2.0 ORG-W01(2차)</x:t>
  </x:si>
  <x:si>
    <x:t xml:space="preserve">FGC-UI-ORG-W01 / -</x:t>
  </x:si>
  <x:si>
    <x:t xml:space="preserve">범위 밖(v3.0)</x:t>
  </x:si>
  <x:si>
    <x:t xml:space="preserve">v3.0 (2026-10-26, 현준): 팀 합의로 2차 범위 제외(미진행). 요구사항 ID와 기존 정의는 변경 이력으로 보존하며 이번 구현·인수 대상에는 포함하지 않는다.
근거: SRC-001,SRC-005,REG-07
이전 추적 기록: 2026-10-11 추적: 담당 설계사 이력 테이블·API 없음</x:t>
  </x:si>
  <x:si>
    <x:t xml:space="preserve">화면정의서 v2.0 POL-W01 · 인터페이스정의서 IF-API-09·IF-API-10</x:t>
  </x:si>
  <x:si>
    <x:t xml:space="preserve">policy, schedule, validation(PolicySnapshotQueries)</x:t>
  </x:si>
  <x:si>
    <x:t xml:space="preserve">FGC-UI-POL-W01 / GET /api/v1/policies · GET /api/v1/policies/{policyVersionId}</x:t>
  </x:si>
  <x:si>
    <x:t xml:space="preserve">PolicyQueryServiceIntegrationTest, CommissionPolicyRepositoryIntegrationTest, validation/service/PolicySnapshotQueriesIntegrationTest</x:t>
  </x:si>
  <x:si>
    <x:t xml:space="preserve">SRC-001,SRC-003,SRC-004,SRC-010,SRC-014,REG-22 | v2.2.1: 지급기준 불변 버전·기초서류 근거 연결 | 2026-10-11 추적: RTM 기존 GET /api/policies/active 경로는 코드에 없음</x:t>
  </x:si>
  <x:si>
    <x:t xml:space="preserve">화면정의서 v2.0 POL-W01 · 인터페이스정의서 IF-API-09</x:t>
  </x:si>
  <x:si>
    <x:t xml:space="preserve">policy, cap</x:t>
  </x:si>
  <x:si>
    <x:t xml:space="preserve">FGC-UI-POL-W01 / GET /api/v1/policies?type=</x:t>
  </x:si>
  <x:si>
    <x:t xml:space="preserve">policy/entity/PolicyVersionIntegrationTest, CapCalculatorImplTest, CapRuleQueryRepositoryIntegrationTest</x:t>
  </x:si>
  <x:si>
    <x:t xml:space="preserve">SRC-001,SRC-002,SRC-003,SRC-014,REG-08~11,REG-19,REG-22 | v2.2.1: 지급단계별 1,200% 게이지·REG-19/22 반영 | 2026-10-11 추적: 지급단계별 게이지 독립 계산(INSURER_TO_GA/GA_TO_FC)</x:t>
  </x:si>
  <x:si>
    <x:t xml:space="preserve">화면정의서 v2.0 POL-W01 · CAP-W02 · 인터페이스정의서 IF-API-10·IF-API-31</x:t>
  </x:si>
  <x:si>
    <x:t xml:space="preserve">policy, cap, transaction</x:t>
  </x:si>
  <x:si>
    <x:t xml:space="preserve">FGC-UI-POL-W01 / GET /api/v1/policies/{policyVersionId}</x:t>
  </x:si>
  <x:si>
    <x:t xml:space="preserve">CapIncludedAmountServiceImplTest, CapValidatorImplTest, CommissionPaymentServiceImplTest</x:t>
  </x:si>
  <x:si>
    <x:t xml:space="preserve">SRC-001,SRC-002,SRC-003,SRC-014,REG-06A~06C,REG-09~11,REG-20~22 | v2.2.1: 공통비·정착지원금·준법경영비 규칙 정정 | 2026-10-11 추적: 제외 증빙 필수(FGC-TRAN-004), 귀속근거 없으면 REVIEW_REQUIRED</x:t>
  </x:si>
  <x:si>
    <x:t xml:space="preserve">화면정의서 v2.0 POL-W02(2차) · SCHE-W03(2차)</x:t>
  </x:si>
  <x:si>
    <x:t xml:space="preserve">schedule(ScheduleRegime FOUR_YEAR_2027/SEVEN_YEAR_2029), policy</x:t>
  </x:si>
  <x:si>
    <x:t xml:space="preserve">FGC-UI-SCHE-W03 / -</x:t>
  </x:si>
  <x:si>
    <x:t xml:space="preserve">CommissionPolicyRepositoryIntegrationTest, ScheduleControllerTest</x:t>
  </x:si>
  <x:si>
    <x:t xml:space="preserve">진행중(2차)</x:t>
  </x:si>
  <x:si>
    <x:t xml:space="preserve">v3.0 (2026-10-26, 현준): 포함 확정(M). 유지관리·장기유지 예정 스케줄의 정책값을 관리하며 FUN-064 검증은 제외한다. 이전 개정은 Z1_개정이력 참조.
근거: SRC-001,SRC-003,SRC-005,SRC-014,REG-01,REG-03,REG-04,REG-19
이전 추적 기록: 2026-10-11 추적: 정책유형→regime 매핑 코드 존재, 4·7년 룰셋 설정 화면·전용 검증 없음</x:t>
  </x:si>
  <x:si>
    <x:t xml:space="preserve">기능·프로그램설계서</x:t>
  </x:si>
  <x:si>
    <x:t xml:space="preserve">schedule(ScheduleLineStatus HOLD/CANCELLED), validation.batch.daily</x:t>
  </x:si>
  <x:si>
    <x:t xml:space="preserve">- / -</x:t>
  </x:si>
  <x:si>
    <x:t xml:space="preserve">v3.0 (2026-10-26, 현준): 포함 확정(M). 상태별 보류·재개 조건 유지. 이전 개정은 Z1_개정이력 참조.
근거: SRC-004,SRC-005
이전 추적 기록: 2026-10-11 추적: HOLD 상태·일일 변경분 배치 골격만, 상태별 지급조건 규칙 미구현(추정)</x:t>
  </x:si>
  <x:si>
    <x:t xml:space="preserve">화면정의서 v2.0 POL-W01 · 인터페이스정의서 IF-API-10(sourceRefs)</x:t>
  </x:si>
  <x:si>
    <x:t xml:space="preserve">policy</x:t>
  </x:si>
  <x:si>
    <x:t xml:space="preserve">PolicyControllerTest</x:t>
  </x:si>
  <x:si>
    <x:t xml:space="preserve">v3.0 (2026-10-26, 현준): 포함 확정(S). info 아이콘의 정책 근거·상세 설명을 추가한다. 이전 개정은 Z1_개정이력 참조.
근거: SRC-001,SRC-002,SRC-003,SRC-014,REG-22,REG-24
이전 추적 기록: 2026-10-11 추적: REG/SRC 근거 조회는 1차 선반영, 상품위원회 메타데이터 미구현
참조 설계문서는 기존 버전이며 v3.0 변경 범위의 후속 동기화가 필요하다.</x:t>
  </x:si>
  <x:si>
    <x:t xml:space="preserve">화면정의서 v2.0 POL-W02(2차)</x:t>
  </x:si>
  <x:si>
    <x:t xml:space="preserve">FGC-UI-POL-W02 / -</x:t>
  </x:si>
  <x:si>
    <x:t xml:space="preserve">v3.0 (2026-10-26, 현준): 포함 확정(S). 제외 의견을 철회하고 정책 등록·검토·승인·활성화를 유지한다. 이전 개정은 Z1_개정이력 참조.
근거: SRC-006,SRC-014,REG-01~11,REG-22,REG-24
이전 추적 기록: 2026-10-11 추적: 정책 등록·승인 API 없음(policy는 GET만). RTM 기존 /api/admin/policies 미존재</x:t>
  </x:si>
  <x:si>
    <x:t xml:space="preserve">화면정의서 v2.0 CONT-W01 · CONT-W02 · CONT-W03 · 인터페이스정의서 IF-API-11·IF-API-12·IF-API-18·IF-API-19</x:t>
  </x:si>
  <x:si>
    <x:t xml:space="preserve">contract</x:t>
  </x:si>
  <x:si>
    <x:t xml:space="preserve">FGC-UI-CONT-W03 / POST /api/v1/contracts · PUT /api/v1/contracts/{id}</x:t>
  </x:si>
  <x:si>
    <x:t xml:space="preserve">ContractControllerTest, ContractServiceImplTest, ContractTransactionIntegrationTest</x:t>
  </x:si>
  <x:si>
    <x:t xml:space="preserve">SRC-004,SRC-005 | 재정의 — CSV 업로드(구 FUN-019) 삭제로, 화면 등록 + 시드 적재가 계약 입력의 유일한 경로 | 2026-10-11 추적: 계약번호 중복 FGC-CONT-001. 화면은 Thymeleaf(React 전환 #408 진행중)</x:t>
  </x:si>
  <x:si>
    <x:t xml:space="preserve">기능·프로그램설계서 · 테이블정의서 v1.0</x:t>
  </x:si>
  <x:si>
    <x:t xml:space="preserve">contract(ContractStatus)</x:t>
  </x:si>
  <x:si>
    <x:t xml:space="preserve">v3.0 (2026-10-26, 현준): 포함 확정(M). 이전 개정은 Z1_개정이력 참조.
근거: SRC-004,SRC-005
이전 추적 기록: 2026-10-11 추적: 상태 코드·이벤트 테이블 있음, 허용 전이 검증(상태기계) 미구현(추정)</x:t>
  </x:si>
  <x:si>
    <x:t xml:space="preserve">화면정의서 v2.0 CONT-W04(2차)</x:t>
  </x:si>
  <x:si>
    <x:t xml:space="preserve">contract(ContractStatusEventRepository), validation.batch.daily(DailyChangedContractJob)</x:t>
  </x:si>
  <x:si>
    <x:t xml:space="preserve">FGC-UI-CONT-W04 / -</x:t>
  </x:si>
  <x:si>
    <x:t xml:space="preserve">DailyChangedContractJobIntegrationTest, ContractStatusEventProcessingRepositoryIntegrationTest</x:t>
  </x:si>
  <x:si>
    <x:t xml:space="preserve">v3.0 (2026-10-26, 현준): 포함 확정(M). 상태 변경 사건 기록은 FUN-027 이력 조회의 선행 기능이다. 이전 개정은 Z1_개정이력 참조.
근거: SRC-004,SRC-005
이전 추적 기록: 2026-10-11 추적: 이벤트 수집·일일배치 처리 있음, 등록 API POST /api/contracts/{id}/events 없음</x:t>
  </x:si>
  <x:si>
    <x:t xml:space="preserve">화면정의서 v2.0 CONT-W02 탭1 · 인터페이스정의서 IF-API-16</x:t>
  </x:si>
  <x:si>
    <x:t xml:space="preserve">contract(controller/service/repository/DTO), frontend/features/contract(ContractTabs)</x:t>
  </x:si>
  <x:si>
    <x:t xml:space="preserve">FGC-UI-CONT-W02 / GET /api/v1/contracts/{id}/status-events</x:t>
  </x:si>
  <x:si>
    <x:t xml:space="preserve">ContractStatusEventRepositoryIntegrationTest, ContractDetailControllerTest, ContractServiceImplTest, frontend/src/features/contract/detail.test.tsx (이력 표시·정렬 2건 통과)</x:t>
  </x:si>
  <x:si>
    <x:t xml:space="preserve">v3.0 (2026-10-26, 현준): 구현중(S). 로컬 develop 확인: 조회 API·타임라인·시간순 정렬은 구현. 처리자 응답·표시 누락, 계약 수정 시 사건 기록은 FUN-026 TODO. 화면 테스트 2건 통과, 백엔드 테스트는 Gradle 캐시 권한 문제로 실행하지 못했다. 이전 개정은 Z1_개정이력 참조.
증적: ContractStatusEventResponse 처리자 필드 없음; ContractServiceImpl 상태 수정 후 사건 기록 TODO(FUN-026); ContractTabs 상태 타임라인 구현. 2026-10-26 로컬 develop 정적 확인 및 기존 화면 테스트 2건 통과. DB 통합·백엔드 테스트 실행 결과는 미확인.</x:t>
  </x:si>
  <x:si>
    <x:t xml:space="preserve">schedule, validation.batch.daily</x:t>
  </x:si>
  <x:si>
    <x:t xml:space="preserve">v3.0 (2026-10-26, 현준): 포함 확정(M). 미확정 지급 건 보류 유지. 이전 개정은 Z1_개정이력 참조.
근거: SRC-004,SRC-005
이전 추적 기록: 2026-10-11 추적: HOLD 상태값·변경분 배치만, 실효·해지 시 자동 보류 처리 미구현(추정)</x:t>
  </x:si>
  <x:si>
    <x:t xml:space="preserve">v3.0 (2026-10-26, 현준): 포함 확정(S). 제외 의견을 철회하고 부활 시 정책·효력일 기준 지급 재개 판단을 유지한다. 이전 개정은 Z1_개정이력 참조.
근거: SRC-005
이전 추적 기록: 2026-10-11 추적: 부활 재개 판단 코드 없음</x:t>
  </x:si>
  <x:si>
    <x:t xml:space="preserve">화면정의서 v2.0 CAP-W01 · CAP-W02 · CONT-W02 탭3 · 인터페이스정의서 IF-API-14·IF-API-19B·IF-API-30</x:t>
  </x:si>
  <x:si>
    <x:t xml:space="preserve">cap</x:t>
  </x:si>
  <x:si>
    <x:t xml:space="preserve">FGC-UI-CAP-W01 / GET /api/v1/contracts/{id}/cap-checks · POST /api/v1/contracts/{id}/cap-check</x:t>
  </x:si>
  <x:si>
    <x:t xml:space="preserve">CapCalculatorImplTest, cap/CapCalculatorIntegrationTest, ProductRefundRateResolverImplTest</x:t>
  </x:si>
  <x:si>
    <x:t xml:space="preserve">SRC-001,SRC-002,SRC-003,SRC-014,REG-08,REG-09,REG-23 | v2.2.1: REG-23 예상 해약환급률표 연계 | 2026-10-11 추적: RTM 기존 모듈 validation.cap→실제 cap 패키지</x:t>
  </x:si>
  <x:si>
    <x:t xml:space="preserve">화면정의서 v2.0 TRAN-W02 · CAP-W02 · 인터페이스정의서 IF-API-22·IF-API-25</x:t>
  </x:si>
  <x:si>
    <x:t xml:space="preserve">cap, transaction</x:t>
  </x:si>
  <x:si>
    <x:t xml:space="preserve">FGC-UI-TRAN-W02 / POST /api/v1/transactions</x:t>
  </x:si>
  <x:si>
    <x:t xml:space="preserve">CapIncludedAmountServiceImplTest, CapIncludedAmountQueryRepositoryIntegrationTest, CommissionPaymentIntegrationTest</x:t>
  </x:si>
  <x:si>
    <x:t xml:space="preserve">SRC-001,SRC-002,SRC-014,REG-06A~06C,REG-09~11,REG-20~22 | v2.2.1: REG-20 정착지원금 귀속·REG-06C 공통비 배부 반영 | 2026-10-11 추적: 미해결 버그 #436(동일 계약 복수 귀속행 합산 누락)</x:t>
  </x:si>
  <x:si>
    <x:t xml:space="preserve">화면정의서 v2.0 CAP-W01 · CONT-W02 탭3 · 인터페이스정의서 IF-API-14·IF-API-30</x:t>
  </x:si>
  <x:si>
    <x:t xml:space="preserve">cap, contract</x:t>
  </x:si>
  <x:si>
    <x:t xml:space="preserve">FGC-UI-CAP-W01 / GET /api/v1/cap-checks</x:t>
  </x:si>
  <x:si>
    <x:t xml:space="preserve">CapCheckControllerTest, CapCheckQueryRepositoryIntegrationTest, CapCheckServiceImplTest</x:t>
  </x:si>
  <x:si>
    <x:t xml:space="preserve">SRC-004,SRC-005 | v2.1: 계약별 규제판정 기준 명확화 | 2026-10-11 추적: RTM 기존 GET /api/caps 경로 낡음</x:t>
  </x:si>
  <x:si>
    <x:t xml:space="preserve">화면정의서 v2.0 TRAN-W02 · 인터페이스정의서 IF-API-24·IF-API-25</x:t>
  </x:si>
  <x:si>
    <x:t xml:space="preserve">transaction, cap</x:t>
  </x:si>
  <x:si>
    <x:t xml:space="preserve">FGC-UI-TRAN-W02 / POST /api/v1/transactions/{id}/precheck · POST /api/v1/transactions/{id}/confirm</x:t>
  </x:si>
  <x:si>
    <x:t xml:space="preserve">CommissionPaymentServiceImplTest, CommissionPaymentIntegrationTest, CapCheckTransactionIntegrationTest</x:t>
  </x:si>
  <x:si>
    <x:t xml:space="preserve">SRC-002,SRC-003,REG-08 | v2.2: 모든 룰셋의 첫 1년에 1,200% 사전게이트 적용 | 2026-10-11 추적: RTM 기존 /api/commission-lines/{id}/confirm 낡음. 경합 버그 #433 미해결</x:t>
  </x:si>
  <x:si>
    <x:t xml:space="preserve">화면정의서 v2.0 EXCP-W01 · CAP-W01 · 인터페이스정의서 IF-API-25·IF-API-44</x:t>
  </x:si>
  <x:si>
    <x:t xml:space="preserve">cap(CapExceptionService), exceptioncase</x:t>
  </x:si>
  <x:si>
    <x:t xml:space="preserve">FGC-UI-EXCP-W01 / POST /api/v1/transactions/{id}/confirm(422 FGC-CAP-001)</x:t>
  </x:si>
  <x:si>
    <x:t xml:space="preserve">CapExceptionServiceImplTest, CapExceptionRepositoryIntegrationTest, ExceptionCaseRepositoryDetectionIntegrationTest</x:t>
  </x:si>
  <x:si>
    <x:t xml:space="preserve">SRC-005 | v2.1: 초과 승인 경로 제거 | 2026-10-11 추적: 예외 중복방지는 exception key 유니크</x:t>
  </x:si>
  <x:si>
    <x:t xml:space="preserve">화면정의서 v2.0 CAP-W02 · 인터페이스정의서 IF-API-31</x:t>
  </x:si>
  <x:si>
    <x:t xml:space="preserve">FGC-UI-CAP-W02 / GET /api/v1/cap-checks/{capCheckId}/details</x:t>
  </x:si>
  <x:si>
    <x:t xml:space="preserve">CapCheckControllerTest, CapCheckWriteRepositoryIntegrationTest</x:t>
  </x:si>
  <x:si>
    <x:t xml:space="preserve">SRC-004,SRC-005 | 2026-10-11 추적: detail snapshot(V5) 기반 근거 표시</x:t>
  </x:si>
  <x:si>
    <x:t xml:space="preserve">화면정의서 v2.0 SCHE-W01 · SCHE-W02 · CONT-W02 탭2 · 인터페이스정의서 IF-API-13·IF-API-18·IF-API-27·IF-API-28</x:t>
  </x:si>
  <x:si>
    <x:t xml:space="preserve">schedule, contract</x:t>
  </x:si>
  <x:si>
    <x:t xml:space="preserve">FGC-UI-SCHE-W01 / POST /api/v1/contracts(생성 시 자동) · GET /api/v1/schedules</x:t>
  </x:si>
  <x:si>
    <x:t xml:space="preserve">ScheduleServiceTest, ScheduleRepositoryIntegrationTest, ScheduleControllerTest</x:t>
  </x:si>
  <x:si>
    <x:t xml:space="preserve">SRC-003,SRC-004,SRC-008,SRC-010,특허 KR20110049433A·KR20120105601A | v2.2: 예전부터 존재한 회사별 회차 지급스케줄을 1차 핵심기능으로 복원 | 2026-10-11 추적: 별도 생성 API(RTM의 /schedules/current) 없음 — 계약 저장 시 자동 생성</x:t>
  </x:si>
  <x:si>
    <x:t xml:space="preserve">화면정의서 v2.0 SCHE-W03(2차)</x:t>
  </x:si>
  <x:si>
    <x:t xml:space="preserve">schedule(regime 매핑만)</x:t>
  </x:si>
  <x:si>
    <x:t xml:space="preserve">v3.0 (2026-10-26, 현준): 포함 확정(M). 예정 스케줄 생성·조회로 범위 축소. FUN-064 검증 및 회차 확정은 제외, 상태별 보류·재개와 FUN-062는 별도 기능으로 유지한다. 이전 개정은 Z1_개정이력 참조.
근거: SRC-001,SRC-003,SRC-014,REG-03,REG-04,REG-19
이전 추적 기록: 2026-10-11 추적: FOUR_YEAR_2027 regime 매핑만, 48개월 스케줄 생성 검증·전용 API 없음
참조 설계문서는 기존 버전이며 v3.0 변경 범위의 후속 동기화가 필요하다.</x:t>
  </x:si>
  <x:si>
    <x:t xml:space="preserve">v3.0 (2026-10-26, 현준): 포함 확정(M). 예정 스케줄 생성·조회로 범위 축소. FUN-064 검증 및 회차 확정은 제외하고 계약의 설계사 연결은 고정한다. 이전 개정은 Z1_개정이력 참조.
근거: SRC-001,SRC-003,SRC-014,REG-03,REG-05,REG-19
이전 추적 기록: 2026-10-11 추적: SEVEN_YEAR_2029 regime 매핑만, 84개월·장기유지 회차 미구현
참조 설계문서는 기존 버전이며 v3.0 변경 범위의 후속 동기화가 필요하다.</x:t>
  </x:si>
  <x:si>
    <x:t xml:space="preserve">화면정의서 v2.0 SCHE-W02 · 인터페이스정의서 IF-API-28A·IF-API-29·IF-API-29A</x:t>
  </x:si>
  <x:si>
    <x:t xml:space="preserve">schedule</x:t>
  </x:si>
  <x:si>
    <x:t xml:space="preserve">FGC-UI-SCHE-W02 / GET /api/v1/schedules/{id}/versions · POST /api/v1/schedules/{id}/regenerate</x:t>
  </x:si>
  <x:si>
    <x:t xml:space="preserve">ScheduleServiceTest, ScheduleControllerTest, schedule/view/ScheduleListViewTest</x:t>
  </x:si>
  <x:si>
    <x:t xml:space="preserve">SRC-004,SRC-005 | v2.2: 1차 현행 스케줄부터 버전·상태 관리, 2차 상태이벤트 확장 | 2026-10-11 추적: 확정 스케줄 불변 DB 트리거(FGC-SCHE-001). 2차 이벤트 반영분은 미구현</x:t>
  </x:si>
  <x:si>
    <x:t xml:space="preserve">화면정의서 v2.0 SCHE-W02 · CONT-W02 · 인터페이스정의서 IF-API-19A·IF-API-29</x:t>
  </x:si>
  <x:si>
    <x:t xml:space="preserve">schedule, validation(ScheduleRegenerationBatchItemService)</x:t>
  </x:si>
  <x:si>
    <x:t xml:space="preserve">FGC-UI-CONT-W02 / POST /api/v1/contracts/{id}/schedules/regenerate</x:t>
  </x:si>
  <x:si>
    <x:t xml:space="preserve">ScheduleServiceTest, validation/mapper/BatchWriterIdempotencyIntegrationTest, ScheduleRegenerationBatchItemServiceTest</x:t>
  </x:si>
  <x:si>
    <x:t xml:space="preserve">SRC-004,SRC-005 | v2.2: 현행 예상 스케줄이 1차에 포함되므로 멱등성도 1차로 이동 | 2026-10-11 추적: RTM 기존 /schedules/rebuild 경로 낡음. 2차 4·7년 멱등 테스트는 미존재</x:t>
  </x:si>
  <x:si>
    <x:t xml:space="preserve">화면정의서 v2.0 VRUN-W01 · VRUN-W02 · 인터페이스정의서 IF-API-45·IF-API-46·IF-API-47</x:t>
  </x:si>
  <x:si>
    <x:t xml:space="preserve">validation</x:t>
  </x:si>
  <x:si>
    <x:t xml:space="preserve">FGC-UI-VRUN-W01 / POST /api/v1/validation-runs</x:t>
  </x:si>
  <x:si>
    <x:t xml:space="preserve">ValidationRunCreateServiceImplIntegrationTest, ValidationRunControllerTest, ValidationRunRepositoryIntegrationTest</x:t>
  </x:si>
  <x:si>
    <x:t xml:space="preserve">SRC-004,SRC-005,SRC-014,REG-23 | v2.2.1: REG-23 원천표 버전 스냅샷 추가 | 2026-10-11 추적: 월 활성 실행 중복 FGC-VRUN-001(부분 UNIQUE)</x:t>
  </x:si>
  <x:si>
    <x:t xml:space="preserve">화면정의서 v2.0 VRUN-W02 · 인터페이스정의서 IF-API-48·IF-BAT-01 Step2</x:t>
  </x:si>
  <x:si>
    <x:t xml:space="preserve">validation.batch(SelectTargetTasklet)</x:t>
  </x:si>
  <x:si>
    <x:t xml:space="preserve">FGC-UI-VRUN-W02 / POST /api/v1/validation-runs/{id}/execute</x:t>
  </x:si>
  <x:si>
    <x:t xml:space="preserve">SelectTargetTaskletTest, ValidationTargetSelectionMapperIntegrationTest, ValidationTargetSelectionServiceTest</x:t>
  </x:si>
  <x:si>
    <x:t xml:space="preserve">SRC-005,SRC-014,REG-23 | v2.2.1: 예상 해약환급률표 선별·코드 정합성 추가 | 2026-10-11 추적: 대상선별은 아직 MyBatis 매퍼(#366)</x:t>
  </x:si>
  <x:si>
    <x:t xml:space="preserve">화면정의서 v2.0 VRUN-W02 · 인터페이스정의서 IF-API-47·IF-API-49</x:t>
  </x:si>
  <x:si>
    <x:t xml:space="preserve">FGC-UI-VRUN-W02 / GET /api/v1/validation-runs/{id} · /progress</x:t>
  </x:si>
  <x:si>
    <x:t xml:space="preserve">ValidationRunDetailQueriesIntegrationTest, ValidationRunDetailMapperIntegrationTest, MonthlyValidationJobIntegrationTest</x:t>
  </x:si>
  <x:si>
    <x:t xml:space="preserve">SRC-004,SRC-005 | v2.2: 결과집계 범위를 스케줄·원장대사·차익거래까지 확대</x:t>
  </x:si>
  <x:si>
    <x:t xml:space="preserve">화면정의서 v2.0 VRUN-W02 · 인터페이스정의서 IF-API-50·IF-API-51</x:t>
  </x:si>
  <x:si>
    <x:t xml:space="preserve">FGC-UI-VRUN-W02 / POST /api/v1/validation-runs/{id}/finalize</x:t>
  </x:si>
  <x:si>
    <x:t xml:space="preserve">ValidationRunFinalizationServiceIntegrationTest, FinalizedValidationRunImmutabilityIntegrationTest, ValidationRunFinalizeChecklistMapperIntegrationTest</x:t>
  </x:si>
  <x:si>
    <x:t xml:space="preserve">SRC-006 | v2.2: 통합 규제·대사 결과의 재현 가능한 잠금으로 확대 | 2026-10-11 추적: RTM 경로와 일치</x:t>
  </x:si>
  <x:si>
    <x:t xml:space="preserve">인터페이스정의서 IF-API-48·IF-BAT-01</x:t>
  </x:si>
  <x:si>
    <x:t xml:space="preserve">validation.batch(MonthlyValidationJobConfig)</x:t>
  </x:si>
  <x:si>
    <x:t xml:space="preserve">FGC-UI-VRUN-W02 / -</x:t>
  </x:si>
  <x:si>
    <x:t xml:space="preserve">JobInstanceIdentityPolicyIntegrationTest, ValidationRunRetryAuditTrailIntegrationTest</x:t>
  </x:si>
  <x:si>
    <x:t xml:space="preserve">v3.0 (2026-10-26, 현준): 포함 확정(M). 이전 개정은 Z1_개정이력 참조.
근거: SRC-004,SRC-005
이전 추적 기록: 2026-10-11 추적: Spring Batch 기반은 있으나 FAILED→RUNNING 재시작은 IF-API-48에서 1차 차단, 30건 재시작 시험 없음</x:t>
  </x:si>
  <x:si>
    <x:t xml:space="preserve">화면정의서 v2.0 LEDG-W01 · 인터페이스정의서 IF-API-34·IF-API-35·IF-API-37</x:t>
  </x:si>
  <x:si>
    <x:t xml:space="preserve">journal</x:t>
  </x:si>
  <x:si>
    <x:t xml:space="preserve">FGC-UI-LEDG-W01 / GET /api/v1/journals</x:t>
  </x:si>
  <x:si>
    <x:t xml:space="preserve">JournalBalanceValidationServiceImplTest, JournalPersistenceServiceImplIntegrationTest, JournalImbalanceServiceImplIntegrationTest</x:t>
  </x:si>
  <x:si>
    <x:t xml:space="preserve">SRC-004,SRC-005,팀 내부통제 설계 | v2.2: 1차 핵심으로 이동, 단순 원장에서 복식부기 검증용 보조원장으로 구체화 | 2026-10-11 추적: RTM 기존 모듈명 ledger→실제 journal</x:t>
  </x:si>
  <x:si>
    <x:t xml:space="preserve">화면정의서 v2.0 LEDG-W01 · EXCP-W01 · 인터페이스정의서 IF-API-36·IF-API-36A·IF-API-44A</x:t>
  </x:si>
  <x:si>
    <x:t xml:space="preserve">journal, exceptioncase</x:t>
  </x:si>
  <x:si>
    <x:t xml:space="preserve">FGC-UI-EXCP-W01 / POST /api/v1/exceptions/{id}/journal-correction · POST /api/v1/journals/{id}/reverse</x:t>
  </x:si>
  <x:si>
    <x:t xml:space="preserve">JournalCorrectionServiceIntegrationTest, JournalCorrectionConcurrencyIntegrationTest, JournalCorrectionExceptionActionServiceTest</x:t>
  </x:si>
  <x:si>
    <x:t xml:space="preserve">팀 내부통제 설계 | v2.2: 복식부기 원장 정합성을 위해 기본 역분개를 1차에 포함 | 2026-10-11 추적: RTM 기존 /reverse-and-repost 경로 없음 — 재기표는 예외 정정(IF-API-44A)에서 수행</x:t>
  </x:si>
  <x:si>
    <x:t xml:space="preserve">화면정의서 v2.0 RECO-W01 · 인터페이스정의서 IF-API-38·IF-API-40</x:t>
  </x:si>
  <x:si>
    <x:t xml:space="preserve">reconciliation</x:t>
  </x:si>
  <x:si>
    <x:t xml:space="preserve">FGC-UI-RECO-W01 / POST /api/v1/reconciliations</x:t>
  </x:si>
  <x:si>
    <x:t xml:space="preserve">InsurerGaReconciliationIntegrationTest, GaFcReconciliationIntegrationTest, ReconciliationRunIntegrationTest</x:t>
  </x:si>
  <x:si>
    <x:t xml:space="preserve">SRC-004,SRC-005,SRC-010 | v2.2: 현행 예상 스케줄 검증에 필수이므로 1차로 이동</x:t>
  </x:si>
  <x:si>
    <x:t xml:space="preserve">화면정의서 v2.0 RECO-W02 · 인터페이스정의서 IF-API-40·IF-API-41</x:t>
  </x:si>
  <x:si>
    <x:t xml:space="preserve">FGC-UI-RECO-W02 / GET /api/v1/reconciliations/results/{resultId}</x:t>
  </x:si>
  <x:si>
    <x:t xml:space="preserve">ReconciliationReasonClassifierTest, GaFcReconciliationMatcherImplTest, InsurerGaReconciliationMatcherImplTest</x:t>
  </x:si>
  <x:si>
    <x:t xml:space="preserve">SRC-004,SRC-005 | v2.2: 대사 핵심기능으로 1차 이동, 원장 불균형 유형 추가</x:t>
  </x:si>
  <x:si>
    <x:t xml:space="preserve">화면정의서 v2.0 RECO-W01 · 인터페이스정의서 IF-API-38</x:t>
  </x:si>
  <x:si>
    <x:t xml:space="preserve">reconciliation(ZeroTolerancePolicy)</x:t>
  </x:si>
  <x:si>
    <x:t xml:space="preserve">FGC-UI-RECO-W01 / -</x:t>
  </x:si>
  <x:si>
    <x:t xml:space="preserve">ZeroTolerancePolicyTest</x:t>
  </x:si>
  <x:si>
    <x:t xml:space="preserve">SRC-005 | v2.2: 1차 0원 정확일치로 포함, 2차 정책화 | 2026-10-11 추적: 1차 0원 허용오차만. tolerance_policy_version_id 컬럼은 있으나 2차 정책 UI 미구현</x:t>
  </x:si>
  <x:si>
    <x:t xml:space="preserve">화면정의서 v2.0 RECO-W01 · 인터페이스정의서 IF-API-39·IF-API-40</x:t>
  </x:si>
  <x:si>
    <x:t xml:space="preserve">FGC-UI-RECO-W01 / GET /api/v1/reconciliations</x:t>
  </x:si>
  <x:si>
    <x:t xml:space="preserve">ReconciliationRunHistoryServiceImplTest, ReconciliationRunHistoryRepositoryIntegrationTest, ReconciliationResultQueryIntegrationTest</x:t>
  </x:si>
  <x:si>
    <x:t xml:space="preserve">SRC-006 | v2.2: 대사 실행 추적을 1차로 이동</x:t>
  </x:si>
  <x:si>
    <x:t xml:space="preserve">화면정의서 v2.0 EXCP-W01 · RECO-W01 · 인터페이스정의서 IF-API-42·IF-API-36A·IF-BAT-01</x:t>
  </x:si>
  <x:si>
    <x:t xml:space="preserve">exceptioncase, reconciliation, validation.batch(ExceptionGenerationTasklet)</x:t>
  </x:si>
  <x:si>
    <x:t xml:space="preserve">FGC-UI-RECO-W01 / POST /api/v1/reconciliations/{id}/exceptions</x:t>
  </x:si>
  <x:si>
    <x:t xml:space="preserve">ExceptionGenerationTaskletTest, ExceptionGenerationMapperIntegrationTest, ReconciliationExceptionServiceTest</x:t>
  </x:si>
  <x:si>
    <x:t xml:space="preserve">SRC-005 | v2.2: 1200%·대사·원장·차익거래 공통 예외로 1차 확대 | 2026-10-11 추적: occurrence(V23_1)로 재검출 이력 관리</x:t>
  </x:si>
  <x:si>
    <x:t xml:space="preserve">화면정의서 v2.0 EXCP-W01 · 인터페이스정의서 IF-API-43·IF-API-44·IF-API-44A</x:t>
  </x:si>
  <x:si>
    <x:t xml:space="preserve">exceptioncase</x:t>
  </x:si>
  <x:si>
    <x:t xml:space="preserve">FGC-UI-EXCP-W01 / POST /api/v1/exceptions/{id}/actions</x:t>
  </x:si>
  <x:si>
    <x:t xml:space="preserve">ExceptionCaseActionServiceIntegrationTest, ExceptionCaseServiceTest, frontend/features/exception/exception.test.tsx</x:t>
  </x:si>
  <x:si>
    <x:t xml:space="preserve">SRC-005,SRC-006 | v2.2: 1차의 1200%·대사·차익거래 예외 처리를 위해 1차로 이동 | 2026-10-11 추적: RTM 기존 PATCH /api/exceptions/{id}/status 낡음. React 전환 완료 화면</x:t>
  </x:si>
  <x:si>
    <x:t xml:space="preserve">화면정의서 v2.0 CLAW-W01(2차)</x:t>
  </x:si>
  <x:si>
    <x:t xml:space="preserve">FGC-UI-CLAW-W01 / -</x:t>
  </x:si>
  <x:si>
    <x:t xml:space="preserve">v3.0 (2026-10-26, 현준): 포함 확정, S→M 승격. 환수 검토 후보 생성까지이며 통지·이의·확정·상계 관리는 제외한다. 이전 개정은 Z1_개정이력 참조.
근거: SRC-001,SRC-004,SRC-005,REG-13
이전 추적 기록: 2026-10-11 추적: 환수 코드 없음(V1 스키마에 clawback 정의만 존재)</x:t>
  </x:si>
  <x:si>
    <x:t xml:space="preserve">v3.0 (2026-10-26, 현준): 포함 확정, S→M 승격. 환수 계산·근거 조회까지이며 확정·상계 관리는 제외한다. 이전 개정은 Z1_개정이력 참조.
근거: SRC-004,SRC-005,REG-14
이전 추적 기록: 2026-10-11 추적: 환수 계산 코드 없음</x:t>
  </x:si>
  <x:si>
    <x:t xml:space="preserve">화면정의서 v2.0 CLAW-W02(2차)</x:t>
  </x:si>
  <x:si>
    <x:t xml:space="preserve">FGC-UI-CLAW-W02 / -</x:t>
  </x:si>
  <x:si>
    <x:t xml:space="preserve">v3.0 (2026-10-26, 현준): 팀 합의로 2차 범위 제외(미진행). 요구사항 ID와 기존 정의는 변경 이력으로 보존하며 이번 구현·인수 대상에는 포함하지 않는다.
근거: SRC-004,SRC-005
이전 추적 기록: 2026-10-11 추적: 환수 상계 코드 없음</x:t>
  </x:si>
  <x:si>
    <x:t xml:space="preserve">화면정의서 v2.0 DASH-W01 · 인터페이스정의서 IF-API-03</x:t>
  </x:si>
  <x:si>
    <x:t xml:space="preserve">dashboard</x:t>
  </x:si>
  <x:si>
    <x:t xml:space="preserve">FGC-UI-DASH-W01 / GET /api/v1/dashboard/summary</x:t>
  </x:si>
  <x:si>
    <x:t xml:space="preserve">DashboardServiceIntegrationTest, DashboardServiceImplTest, frontend/features/dashboard/dashboard.test.tsx</x:t>
  </x:si>
  <x:si>
    <x:t xml:space="preserve">SRC-004,SRC-005 | v2.2: 1차 스케줄·대사·차익거래 요약 반영 | 2026-10-11 추적: RTM 기존 모듈 reporting→실제 dashboard. React 전환 완료</x:t>
  </x:si>
  <x:si>
    <x:t xml:space="preserve">화면정의서 v3.0 SRCH-W01(미진행 원안)</x:t>
  </x:si>
  <x:si>
    <x:t xml:space="preserve">FGC-UI-SRCH-W01(미진행 원안) / -</x:t>
  </x:si>
  <x:si>
    <x:t xml:space="preserve">v3.0 (2026-10-26, 현준): 기존 팀 합의대로 통합 검색은 2차 미진행. 요구사항 ID·원안·S 우선순위는 보존하며 이번 구현·인수 대상에서 제외한다. 기존 메뉴 검색·필터·상세 조회는 유지한다.
근거: SRC-006. 기존 각 메뉴 검색과 통합 검색은 구분한다.</x:t>
  </x:si>
  <x:si>
    <x:t xml:space="preserve">화면정의서 v2.0 AUDT-W01 · 인터페이스정의서 IF-API-52·IF-API-52A·IF-API-52B</x:t>
  </x:si>
  <x:si>
    <x:t xml:space="preserve">audit, auth(AuthAuditListener)</x:t>
  </x:si>
  <x:si>
    <x:t xml:space="preserve">FGC-UI-AUDT-W01 / GET /api/v1/audit-logs</x:t>
  </x:si>
  <x:si>
    <x:t xml:space="preserve">audit/AuditCoverageIntegrationTest, AuditLogTransactionIntegrationTest, frontend/features/audit/AuditLogPage.test.tsx</x:t>
  </x:si>
  <x:si>
    <x:t xml:space="preserve">SRC-005,SRC-006,SRC-014,REG-22 | v2.2.1: REG-22 지급기준·귀속 변경 감사대상 추가 | 2026-10-11 추적: RTM의 Audit Aspect 대신 서비스 내 AuditLogService 직접 기록</x:t>
  </x:si>
  <x:si>
    <x:t xml:space="preserve">화면정의서 v2.0 ACQC-W01(2차)</x:t>
  </x:si>
  <x:si>
    <x:t xml:space="preserve">FGC-UI-ACQC-W01 / -</x:t>
  </x:si>
  <x:si>
    <x:t xml:space="preserve">v3.0 (2026-10-26, 현준): 포함 확정(M), 구현 후순위. 037·038 생성·조회와 별도의 계약체결비용 한도 검증이다. 이전 개정은 Z1_개정이력 참조.
근거: SRC-001,SRC-003,SRC-014,REG-02,REG-06A~06C,REG-11,REG-19
이전 추적 기록: 2026-10-11 추적: 계약체결비용 한도 코드 없음, RTM의 /cost-limit 미존재</x:t>
  </x:si>
  <x:si>
    <x:t xml:space="preserve">성능설계서</x:t>
  </x:si>
  <x:si>
    <x:t xml:space="preserve">cap, contract, journal, transaction, exceptioncase(성능 비교 테스트), scripts/verification</x:t>
  </x:si>
  <x:si>
    <x:t xml:space="preserve">주요 API / -</x:t>
  </x:si>
  <x:si>
    <x:t xml:space="preserve">ContractReadPerformanceTest, CapReferenceReadPerformanceTest, JournalReadPerformanceTest</x:t>
  </x:si>
  <x:si>
    <x:t xml:space="preserve">구현·테스트 부족</x:t>
  </x:si>
  <x:si>
    <x:t xml:space="preserve">SRC-006 | 2026-10-11 추적: 저장소 계층 비교 측정만, 주요 API 10종 p95 측정 결과 없음</x:t>
  </x:si>
  <x:si>
    <x:t xml:space="preserve">SRC-005 | 2026-10-11 추적: 10만건 정산 배치 없음</x:t>
  </x:si>
  <x:si>
    <x:t xml:space="preserve">dashboard, db/migration/V23__dashboard_summary_indexes.sql</x:t>
  </x:si>
  <x:si>
    <x:t xml:space="preserve">DashboardServiceIntegrationTest</x:t>
  </x:si>
  <x:si>
    <x:t xml:space="preserve">SRC-005 | 2026-10-11 추적: 인덱스는 있음, p95 3초 측정 없음</x:t>
  </x:si>
  <x:si>
    <x:t xml:space="preserve">SRC-005 | 2026-10-11 추적: k6 등 부하시험 없음</x:t>
  </x:si>
  <x:si>
    <x:t xml:space="preserve">build.gradle(actuator), infra/scripts/deploy-host.sh</x:t>
  </x:si>
  <x:si>
    <x:t xml:space="preserve">- / GET /actuator/health</x:t>
  </x:si>
  <x:si>
    <x:t xml:space="preserve">SRC-005,SRC-006 | 2026-10-11 추적: #454 actuator health만, Prometheus/Grafana·알림 없음</x:t>
  </x:si>
  <x:si>
    <x:t xml:space="preserve">validation, schedule, transaction</x:t>
  </x:si>
  <x:si>
    <x:t xml:space="preserve">BatchWriterIdempotencyIntegrationTest</x:t>
  </x:si>
  <x:si>
    <x:t xml:space="preserve">SRC-004,SRC-005 | 재정의 — 파일해시 항목 삭제(수집 제외), 지급 건·정산·스케줄 멱등키로 한정 | 2026-10-11 추적: 멱등성은 1차 구현, 재실행 성능 측정 없음</x:t>
  </x:si>
  <x:si>
    <x:t xml:space="preserve">인터페이스정의서 §1~3</x:t>
  </x:si>
  <x:si>
    <x:t xml:space="preserve">common.web(ApiResponse, PageResponse, ApiError)</x:t>
  </x:si>
  <x:si>
    <x:t xml:space="preserve">- / /api/v1/**</x:t>
  </x:si>
  <x:si>
    <x:t xml:space="preserve">ApiResponseTest, PageResponseTest, GlobalExceptionHandlerTest</x:t>
  </x:si>
  <x:si>
    <x:t xml:space="preserve">SRC-005 | 2026-10-11 추적: 2차 요구이나 1차에서 /api/v1·표준응답 선반영</x:t>
  </x:si>
  <x:si>
    <x:t xml:space="preserve">인터페이스정의서 §2</x:t>
  </x:si>
  <x:si>
    <x:t xml:space="preserve">common.config(OpenApiConfig), build.gradle(springdoc), frontend/lib/api/schema.d.ts</x:t>
  </x:si>
  <x:si>
    <x:t xml:space="preserve">Swagger UI / /swagger-ui.html</x:t>
  </x:si>
  <x:si>
    <x:t xml:space="preserve">common/OpenApiFrontendIntegrationTest, CI npm run check:api</x:t>
  </x:si>
  <x:si>
    <x:t xml:space="preserve">SRC-005 | 2026-10-11 추적: 프론트 타입과 OpenAPI 불일치는 CI에서 차단</x:t>
  </x:si>
  <x:si>
    <x:t xml:space="preserve">화면정의서 v2.0 공통 컴포넌트</x:t>
  </x:si>
  <x:si>
    <x:t xml:space="preserve">frontend/components, frontend/styles/tokens.js, static/css/common</x:t>
  </x:si>
  <x:si>
    <x:t xml:space="preserve">전 화면 / -</x:t>
  </x:si>
  <x:si>
    <x:t xml:space="preserve">frontend/components/components.test.tsx, frontend/styles/tokens.test.ts, ui/StatusBadgeDesignTokenTest</x:t>
  </x:si>
  <x:si>
    <x:t xml:space="preserve">SRC-006 | 2026-10-11 추적: 토큰·컴포넌트 테스트는 있으나 Figma 대조 증적 없음</x:t>
  </x:si>
  <x:si>
    <x:t xml:space="preserve">인터페이스정의서 §2-1(MPA·Ajax 구분)</x:t>
  </x:si>
  <x:si>
    <x:t xml:space="preserve">common.web(ShellAdvice, ScreenViewController), templates, frontend</x:t>
  </x:si>
  <x:si>
    <x:t xml:space="preserve">Thymeleaf + React(전환 중) / -</x:t>
  </x:si>
  <x:si>
    <x:t xml:space="preserve">common/web/MpaErrorPageIntegrationTest, common/web/ShellMonthSessionWebTest, ui/AppShellWorkspaceStructureTest</x:t>
  </x:si>
  <x:si>
    <x:t xml:space="preserve">사용자 확정 기술범위 | v2.2: 1차 핵심 화면범위와 2차 마이그레이션 경계 명시 | 2026-10-11 추적: 1차 하이브리드 충족. 2차는 #399/#419로 Thymeleaf 제거 예정</x:t>
  </x:si>
  <x:si>
    <x:t xml:space="preserve">인터페이스정의서 §4 오류코드표</x:t>
  </x:si>
  <x:si>
    <x:t xml:space="preserve">common.exception(FgcErrorCode, GlobalExceptionHandler), common.web(RequestIdFilter), frontend/lib/api/errors.ts</x:t>
  </x:si>
  <x:si>
    <x:t xml:space="preserve">Error Response / -</x:t>
  </x:si>
  <x:si>
    <x:t xml:space="preserve">GlobalExceptionHandlerTest, RequestIdFilterTest, frontend/lib/api/client.test.ts</x:t>
  </x:si>
  <x:si>
    <x:t xml:space="preserve">SRC-006 | 2026-10-11 추적: 미해결 #466(비JSON 4xx가 FGC-COMMON-500 분류)</x:t>
  </x:si>
  <x:si>
    <x:t xml:space="preserve">인터페이스·API정의서</x:t>
  </x:si>
  <x:si>
    <x:t xml:space="preserve">common.util(DisplayFormat, DateUtil, MoneyUtil), frontend/lib/format.ts</x:t>
  </x:si>
  <x:si>
    <x:t xml:space="preserve">All / -</x:t>
  </x:si>
  <x:si>
    <x:t xml:space="preserve">DateUtilTest, MoneyUtilTest, frontend/lib/format.test.ts</x:t>
  </x:si>
  <x:si>
    <x:t xml:space="preserve">ERD·테이블정의서 · 테이블정의서 v1.0</x:t>
  </x:si>
  <x:si>
    <x:t xml:space="preserve">src/main/resources/db/migration(V1~V43)</x:t>
  </x:si>
  <x:si>
    <x:t xml:space="preserve">Database / -</x:t>
  </x:si>
  <x:si>
    <x:t xml:space="preserve">*RepositoryIntegrationTest(Testcontainers), CommissionPolicyRepositoryIntegrationTest</x:t>
  </x:si>
  <x:si>
    <x:t xml:space="preserve">SRC-004,SRC-005,SRC-006,SRC-014,REG-19,REG-23,REG-24 | v2.2.1: REG-19·23·24 데이터모델 반영 | 2026-10-11 추적: Flyway 기준 V1 baseline v2.1.2</x:t>
  </x:si>
  <x:si>
    <x:t xml:space="preserve">common.util(MoneyUtil), db numeric 컬럼</x:t>
  </x:si>
  <x:si>
    <x:t xml:space="preserve">MoneyUtilTest, CapCalculatorImplTest</x:t>
  </x:si>
  <x:si>
    <x:t xml:space="preserve">Temporal Data / GET /api/v1/base/products?asOf · /api/v1/policies?asOf</x:t>
  </x:si>
  <x:si>
    <x:t xml:space="preserve">ProductRepositoryIntegrationTest, PolicyVersionIntegrationTest, PolicyQueryServiceIntegrationTest</x:t>
  </x:si>
  <x:si>
    <x:t xml:space="preserve">SRC-005,SRC-014,REG-19,REG-21,REG-22 | v2.2.1: 적용례·신인경력·지급기준 버전 이력 추가</x:t>
  </x:si>
  <x:si>
    <x:t xml:space="preserve">db/migration(UNIQUE·부분 UNIQUE), common.exception(ConstraintErrorCodeResolver)</x:t>
  </x:si>
  <x:si>
    <x:t xml:space="preserve">Database Constraints / -</x:t>
  </x:si>
  <x:si>
    <x:t xml:space="preserve">ConstraintErrorCodeResolverTest, JournalCorrectionConcurrencyIntegrationTest, CommissionPaymentIntegrationTest</x:t>
  </x:si>
  <x:si>
    <x:t xml:space="preserve">SRC-004,SRC-005 | v2.2: 1차 스케줄·원장·대사·차익거래 업무키 포함 | 2026-10-11 추적: 미해결 동시성 버그 #431·#432·#433</x:t>
  </x:si>
  <x:si>
    <x:t xml:space="preserve">db/migration(V6__integrity_hardening 등 트리거·FK)</x:t>
  </x:si>
  <x:si>
    <x:t xml:space="preserve">Database/Domain / -</x:t>
  </x:si>
  <x:si>
    <x:t xml:space="preserve">ContractTransactionIntegrationTest, AuditLogTransactionIntegrationTest, CapQueryTransactionIntegrationTest</x:t>
  </x:si>
  <x:si>
    <x:t xml:space="preserve">common.code(enum 라벨)</x:t>
  </x:si>
  <x:si>
    <x:t xml:space="preserve">Documentation / -</x:t>
  </x:si>
  <x:si>
    <x:t xml:space="preserve">해당없음(관리·원칙)</x:t>
  </x:si>
  <x:si>
    <x:t xml:space="preserve">SRC-004,SRC-008 | 2026-10-11 추적: 요구사항명세서 91_용어사전으로 추적</x:t>
  </x:si>
  <x:si>
    <x:t xml:space="preserve">common.util(PersonalInfoMasker)</x:t>
  </x:si>
  <x:si>
    <x:t xml:space="preserve">PersonalInfoMaskerTest</x:t>
  </x:si>
  <x:si>
    <x:t xml:space="preserve">SRC-005 | 2026-10-11 추적: 로그 노출 검사는 SER-006 참고</x:t>
  </x:si>
  <x:si>
    <x:t xml:space="preserve">SRC-005,SRC-006 | 2026-10-11 추적: 백업·복구 스크립트 없음</x:t>
  </x:si>
  <x:si>
    <x:t xml:space="preserve">validation(대상선별 제외·확정 체크리스트)</x:t>
  </x:si>
  <x:si>
    <x:t xml:space="preserve">FGC-UI-VRUN-W02 / GET /api/v1/validation-runs/{id}/finalize-checklist</x:t>
  </x:si>
  <x:si>
    <x:t xml:space="preserve">ValidationTargetSelectionMapperIntegrationTest, ValidationRunFinalizeChecklistMapperIntegrationTest</x:t>
  </x:si>
  <x:si>
    <x:t xml:space="preserve">SRC-006 | v2.2: 핵심 데이터 정합성을 위해 1차로 이동 | 2026-10-11 추적: 별도 Quality Job 없음 — 대상선별 제외·확정조건 6개로 대체(추정)</x:t>
  </x:si>
  <x:si>
    <x:t xml:space="preserve">아키텍처·환경구성서</x:t>
  </x:si>
  <x:si>
    <x:t xml:space="preserve">build.gradle, README.md, docker-compose.yml</x:t>
  </x:si>
  <x:si>
    <x:t xml:space="preserve">Runtime / -</x:t>
  </x:si>
  <x:si>
    <x:t xml:space="preserve">MonthlyValidationJobIntegrationTest, BatchWriterIdempotencyIntegrationTest</x:t>
  </x:si>
  <x:si>
    <x:t xml:space="preserve">사용자 확정 기술범위 | v2.2.2: Spring Batch를 1차 기술범위에 추가(사용자 지침). 정정 — Java 17→21(확정 기술범위)</x:t>
  </x:si>
  <x:si>
    <x:t xml:space="preserve">frontend/, build.gradle(mybatis 잔존)</x:t>
  </x:si>
  <x:si>
    <x:t xml:space="preserve">React SPA / -</x:t>
  </x:si>
  <x:si>
    <x:t xml:space="preserve">frontend vitest, common/persistence/JpaMyBatisTransactionIntegrationTest</x:t>
  </x:si>
  <x:si>
    <x:t xml:space="preserve">사용자 확정 기술범위 | v2.2.2: 1차가 이미 Spring Batch를 쓰므로 '수동실행→Spring Batch 마이그레이션' 문구 삭제. Job 2개 → 5개 확장으로 재정의. v2.2: 1차 핵심엔진을 폐기하지 않는 마이그레이션 원칙 명시 | 2026-10-11 추적: React 부분 전환(#399), MyBatis 의존성·매퍼 XML 5개 잔존(#366·#383) — 인수조건 미충족</x:t>
  </x:si>
  <x:si>
    <x:t xml:space="preserve">build.gradle(flyway, testcontainers), db/migration, Containerfile.db</x:t>
  </x:si>
  <x:si>
    <x:t xml:space="preserve">PostgreSQL / -</x:t>
  </x:si>
  <x:si>
    <x:t xml:space="preserve">FgcApplicationTests, *IntegrationTest(Testcontainers)</x:t>
  </x:si>
  <x:si>
    <x:t xml:space="preserve">SRC-005 | v2.2.2: Spring Batch 메타테이블 위치 명시. 보강 — 1·2차 모두 PostgreSQL 명시</x:t>
  </x:si>
  <x:si>
    <x:t xml:space="preserve">.github/workflows/ci.yml, .github/CODEOWNERS</x:t>
  </x:si>
  <x:si>
    <x:t xml:space="preserve">GitHub / -</x:t>
  </x:si>
  <x:si>
    <x:t xml:space="preserve">CI build·frontend 필수 체크</x:t>
  </x:si>
  <x:si>
    <x:t xml:space="preserve">사용자 선정 도구 | 2026-10-11 추적: 브랜치 보호는 GitHub 설정(저장소 밖)</x:t>
  </x:si>
  <x:si>
    <x:t xml:space="preserve">Containerfile.api·web·db, podman/*.yaml, Jenkinsfile.fgc, infra/scripts</x:t>
  </x:si>
  <x:si>
    <x:t xml:space="preserve">Podman/Jenkins / -</x:t>
  </x:si>
  <x:si>
    <x:t xml:space="preserve">Jenkinsfile.fgc smoke test 단계</x:t>
  </x:si>
  <x:si>
    <x:t xml:space="preserve">배포구성서/Dockerfile/K8s Manifest/배포결과서</x:t>
  </x:si>
  <x:si>
    <x:t xml:space="preserve">SRC-005 | 2026-10-11 추적: 문서는 Docker/Kubernetes, 실제는 Podman+Jenkins(#454·#463)</x:t>
  </x:si>
  <x:si>
    <x:t xml:space="preserve">SRC-005 | 재정의 — 업로드 원본 저장 용도 삭제(수집 제외), 증빙·보고서 용도로 한정 | 2026-10-11 추적: 파일 저장소 없음</x:t>
  </x:si>
  <x:si>
    <x:t xml:space="preserve">build.gradle(actuator)</x:t>
  </x:si>
  <x:si>
    <x:t xml:space="preserve">SRC-005 | v2.2.2: 배치 관측 항목 보강 | 2026-10-11 추적: #454 actuator만, 지표 수집·대시보드 없음</x:t>
  </x:si>
  <x:si>
    <x:t xml:space="preserve">테스트계획·결과서</x:t>
  </x:si>
  <x:si>
    <x:t xml:space="preserve">RTM / -</x:t>
  </x:si>
  <x:si>
    <x:t xml:space="preserve">SRC-006 | 2026-10-11 추적: 본 RTM으로 추적</x:t>
  </x:si>
  <x:si>
    <x:t xml:space="preserve">cap, arbitrage, reconciliation, journal(도메인 계산)</x:t>
  </x:si>
  <x:si>
    <x:t xml:space="preserve">JUnit 5 / -</x:t>
  </x:si>
  <x:si>
    <x:t xml:space="preserve">CapCalculatorImplTest, ArbitrageServiceTest, ReconciliationReasonClassifierTest</x:t>
  </x:si>
  <x:si>
    <x:t xml:space="preserve">SRC-004,SRC-005 | v2.2: 1차 스케줄·원장·대사·차익거래 계산 포함 | 2026-10-11 추적: JaCoCo 등 커버리지 측정 미설정(80% 증명 불가)</x:t>
  </x:si>
  <x:si>
    <x:t xml:space="preserve">db/demo 시드 + 통합테스트</x:t>
  </x:si>
  <x:si>
    <x:t xml:space="preserve">JUnit Fixtures / -</x:t>
  </x:si>
  <x:si>
    <x:t xml:space="preserve">ReconciliationResultPersistenceIntegrationTest, CapCalculatorIntegrationTest</x:t>
  </x:si>
  <x:si>
    <x:t xml:space="preserve">SRC-001,SRC-002,SRC-003 | v2.2: 최종 릴리스 시나리오 기준 Golden Test 확장 | 2026-10-11 추적: Golden 픽스처 명시 테스트 일부(reconciliation)만</x:t>
  </x:si>
  <x:si>
    <x:t xml:space="preserve">build.gradle(testcontainers postgresql)</x:t>
  </x:si>
  <x:si>
    <x:t xml:space="preserve">Testcontainers / -</x:t>
  </x:si>
  <x:si>
    <x:t xml:space="preserve">ContractTransactionIntegrationTest, AuditLogTransactionIntegrationTest</x:t>
  </x:si>
  <x:si>
    <x:t xml:space="preserve">SRC-005 | v2.2: 1차 복식원장·대사 정합성 때문에 1차로 이동</x:t>
  </x:si>
  <x:si>
    <x:t xml:space="preserve">controller 계층</x:t>
  </x:si>
  <x:si>
    <x:t xml:space="preserve">MockMvc / -</x:t>
  </x:si>
  <x:si>
    <x:t xml:space="preserve">*ControllerTest, ExceptionCaseApiIntegrationTest, ArbitrageApiIntegrationTest</x:t>
  </x:si>
  <x:si>
    <x:t xml:space="preserve">사용자 선정 도구 | 2026-10-11 추적: Postman/Newman 대신 MockMvc가 CI에서 실행</x:t>
  </x:si>
  <x:si>
    <x:t xml:space="preserve">frontend/e2e, frontend/playwright.config.ts</x:t>
  </x:si>
  <x:si>
    <x:t xml:space="preserve">Playwright / -</x:t>
  </x:si>
  <x:si>
    <x:t xml:space="preserve">frontend/e2e/auth.spec.ts, frontend/e2e/exception.spec.ts</x:t>
  </x:si>
  <x:si>
    <x:t xml:space="preserve">SRC-005 | v2.2: 1차 통합 데모 범위 E2E로 이동 | 2026-10-11 추적: E2E 스펙 4개 있으나 CI 미편입·3회 연속 증적 없음(#418)</x:t>
  </x:si>
  <x:si>
    <x:t xml:space="preserve">validation.batch</x:t>
  </x:si>
  <x:si>
    <x:t xml:space="preserve">Batch / -</x:t>
  </x:si>
  <x:si>
    <x:t xml:space="preserve">BatchWriterIdempotencyIntegrationTest, MonthlyValidationJobIntegrationTest, DailyChangedContractJobIntegrationTest</x:t>
  </x:si>
  <x:si>
    <x:t xml:space="preserve">SRC-004,SRC-005 | v2.1: 동일 파일 표현 삭제 | 2026-10-11 추적: 2차 배치 재실행 시나리오는 미대상</x:t>
  </x:si>
  <x:si>
    <x:t xml:space="preserve">k6 / -</x:t>
  </x:si>
  <x:si>
    <x:t xml:space="preserve">SRC-005 | v2.1: 파일수집 성능 삭제 | 2026-10-11 추적: k6 스크립트 없음</x:t>
  </x:si>
  <x:si>
    <x:t xml:space="preserve">common.config(SecurityConfig), .github/workflows/ci.yml(Trivy)</x:t>
  </x:si>
  <x:si>
    <x:t xml:space="preserve">Security Test / -</x:t>
  </x:si>
  <x:si>
    <x:t xml:space="preserve">AuthLoginFlowTest, AuthAuditFailureIntegrationTest, CI Trivy 스캔</x:t>
  </x:si>
  <x:si>
    <x:t xml:space="preserve">SRC-006 | v2.1: 파일업로드는 2차 조건부 | 2026-10-11 추적: 인증·권한 테스트+Trivy는 있으나 입력검증·CSRF 공격 시나리오 결과서 없음</x:t>
  </x:si>
  <x:si>
    <x:t xml:space="preserve">Demo / -</x:t>
  </x:si>
  <x:si>
    <x:t xml:space="preserve">SRC-005 | v2.2: 최종 1차·2차 데모 시나리오로 교체 | 2026-10-11 추적: 리허설 기록으로 추적</x:t>
  </x:si>
  <x:si>
    <x:t xml:space="preserve">보안설계서</x:t>
  </x:si>
  <x:si>
    <x:t xml:space="preserve">common.config(SecurityConfig BCryptPasswordEncoder), auth</x:t>
  </x:si>
  <x:si>
    <x:t xml:space="preserve">Authentication / -</x:t>
  </x:si>
  <x:si>
    <x:t xml:space="preserve">FgcUserDetailsServiceTest, AuthLoginFlowTest</x:t>
  </x:si>
  <x:si>
    <x:t xml:space="preserve">common.config(SecurityConfig), common.security(Roles)</x:t>
  </x:si>
  <x:si>
    <x:t xml:space="preserve">RBAC / -</x:t>
  </x:si>
  <x:si>
    <x:t xml:space="preserve">AuthLoginFlowTest, frontend/app/router.test.tsx</x:t>
  </x:si>
  <x:si>
    <x:t xml:space="preserve">SRC-006 | 2026-10-11 추적: FUN-002와 같은 근거</x:t>
  </x:si>
  <x:si>
    <x:t xml:space="preserve">인터페이스정의서 §2-1 CSRF</x:t>
  </x:si>
  <x:si>
    <x:t xml:space="preserve">common.config(SecurityConfig)</x:t>
  </x:si>
  <x:si>
    <x:t xml:space="preserve">Web Security / -</x:t>
  </x:si>
  <x:si>
    <x:t xml:space="preserve">AuthTokenApiIntegrationTest, AuthLoginFlowTest</x:t>
  </x:si>
  <x:si>
    <x:t xml:space="preserve">SRC-006 | 2026-10-11 추적: 세션 요청 CSRF 검사, Bearer만 면제</x:t>
  </x:si>
  <x:si>
    <x:t xml:space="preserve">spring-boot-starter-validation, JPA 바인딩</x:t>
  </x:si>
  <x:si>
    <x:t xml:space="preserve">Input Validation / -</x:t>
  </x:si>
  <x:si>
    <x:t xml:space="preserve">ContractRepositoryIntegrationTest, JournalSearchQueryRepositoryIntegrationTest</x:t>
  </x:si>
  <x:si>
    <x:t xml:space="preserve">SRC-006 | v2.1: 1차 파일입력 표현 삭제 | 2026-10-11 추적: 일부 리포지토리 테스트만 인젝션 입력 확인(추정), XSS·경로조작 시나리오 부족</x:t>
  </x:si>
  <x:si>
    <x:t xml:space="preserve">SRC-006 | 공통→2차 이동 — 1차에는 파일 업로드 기능이 없음(수집 삭제). 2차 증빙 첨부 대비로 유지 | 2026-10-11 추적: 파일 업로드 기능 없음</x:t>
  </x:si>
  <x:si>
    <x:t xml:space="preserve">Logs / -</x:t>
  </x:si>
  <x:si>
    <x:t xml:space="preserve">SRC-005,SRC-006 | 2026-10-11 추적: 마스킹 유틸만, 업무 로그 샘플 검사 없음</x:t>
  </x:si>
  <x:si>
    <x:t xml:space="preserve">nginx/default.conf.template, infra/scripts/deploy-host.sh</x:t>
  </x:si>
  <x:si>
    <x:t xml:space="preserve">HTTPS / -</x:t>
  </x:si>
  <x:si>
    <x:t xml:space="preserve">SRC-005 | 2026-10-11 추적: 인증서 발급·운영 배포 #463 진행중</x:t>
  </x:si>
  <x:si>
    <x:t xml:space="preserve">application.yml(${FGC_JWT_SECRET} 등 환경변수), .trivyignore</x:t>
  </x:si>
  <x:si>
    <x:t xml:space="preserve">Secrets / -</x:t>
  </x:si>
  <x:si>
    <x:t xml:space="preserve">CI Trivy</x:t>
  </x:si>
  <x:si>
    <x:t xml:space="preserve">사용자 선정 도구 | 2026-10-11 추적: 저장소 비밀 스캔 전용 도구 없음(Trivy 이미지 스캔만, 추정)</x:t>
  </x:si>
  <x:si>
    <x:t xml:space="preserve">auth(AuthAuditListener), audit</x:t>
  </x:si>
  <x:si>
    <x:t xml:space="preserve">Security Audit / GET /api/v1/audit-logs</x:t>
  </x:si>
  <x:si>
    <x:t xml:space="preserve">AuthAuditListenerTest, AuthAuditFailureIntegrationTest</x:t>
  </x:si>
  <x:si>
    <x:t xml:space="preserve">.github/dependabot.yml, .github/workflows/dependency-submission.yml, ci.yml(Trivy)</x:t>
  </x:si>
  <x:si>
    <x:t xml:space="preserve">Dependency Scan / -</x:t>
  </x:si>
  <x:si>
    <x:t xml:space="preserve">CI Trivy 스캔</x:t>
  </x:si>
  <x:si>
    <x:t xml:space="preserve">범위 밖(OI-010 단일 GA)</x:t>
  </x:si>
  <x:si>
    <x:t xml:space="preserve">SRC-005 | 2026-10-11 추적: 테넌트 격리 코드 없음 | 2026-10-19 OI-010: 단일 GA 결정으로 2차 범위 밖(M→W)</x:t>
  </x:si>
  <x:si>
    <x:t xml:space="preserve">SRC-005 | 2026-10-11 추적: 파기·비식별 코드 없음</x:t>
  </x:si>
  <x:si>
    <x:t xml:space="preserve">품질보증계획서</x:t>
  </x:si>
  <x:si>
    <x:t xml:space="preserve">GitHub Issue/PR / -</x:t>
  </x:si>
  <x:si>
    <x:t xml:space="preserve">SRC-006 | 2026-10-11 추적: RTM·PR 템플릿으로 추적</x:t>
  </x:si>
  <x:si>
    <x:t xml:space="preserve">패키지 구조(validation.batch.contract 포트)</x:t>
  </x:si>
  <x:si>
    <x:t xml:space="preserve">Architecture / -</x:t>
  </x:si>
  <x:si>
    <x:t xml:space="preserve">SRC-004,SRC-005 | 보강 — 1차 모듈에 compensation(지급 건) 추가 | 2026-10-11 추적: ArchUnit 없음 — 코드리뷰(.coderabbit.yml, claude-code-review.yml)로만</x:t>
  </x:si>
  <x:si>
    <x:t xml:space="preserve">frontend/eslint.config.js, .coderabbit.yml</x:t>
  </x:si>
  <x:si>
    <x:t xml:space="preserve">Codebase / -</x:t>
  </x:si>
  <x:si>
    <x:t xml:space="preserve">CI npm run lint</x:t>
  </x:si>
  <x:si>
    <x:t xml:space="preserve">SRC-006 | 2026-10-11 추적: 프론트만 lint, Java 포매터·정적분석 미설정</x:t>
  </x:si>
  <x:si>
    <x:t xml:space="preserve">.github/CODEOWNERS, .github/pull_request_template.md, .coderabbit.yml</x:t>
  </x:si>
  <x:si>
    <x:t xml:space="preserve">GitHub PR / -</x:t>
  </x:si>
  <x:si>
    <x:t xml:space="preserve">사용자 선정 도구 | 2026-10-11 추적: PR 이력으로 추적</x:t>
  </x:si>
  <x:si>
    <x:t xml:space="preserve">common.web(RequestIdFilter, RequestIdContext)</x:t>
  </x:si>
  <x:si>
    <x:t xml:space="preserve">RequestIdFilterTest, FgcErrorAttributesTest</x:t>
  </x:si>
  <x:si>
    <x:t xml:space="preserve">SRC-005 | 2026-10-11 추적: 배치 로그 연계는 미확인(추정)</x:t>
  </x:si>
  <x:si>
    <x:t xml:space="preserve">validation(재실행), journal(역분개)</x:t>
  </x:si>
  <x:si>
    <x:t xml:space="preserve">Operations / -</x:t>
  </x:si>
  <x:si>
    <x:t xml:space="preserve">ValidationRunRetryAuditTrailIntegrationTest, JournalCorrectionServiceIntegrationTest</x:t>
  </x:si>
  <x:si>
    <x:t xml:space="preserve">SRC-005,SRC-006 | v2.1: 실패 파일 표현 삭제</x:t>
  </x:si>
  <x:si>
    <x:t xml:space="preserve">frontend</x:t>
  </x:si>
  <x:si>
    <x:t xml:space="preserve">UI / -</x:t>
  </x:si>
  <x:si>
    <x:t xml:space="preserve">SRC-006 | 2026-10-11 추적: 사용성 테스트 산출물로 추적</x:t>
  </x:si>
  <x:si>
    <x:t xml:space="preserve">SRC-006 | 2026-10-11 추적: QA 트래커 #252로 추적</x:t>
  </x:si>
  <x:si>
    <x:t xml:space="preserve">범위·아키텍처원칙</x:t>
  </x:si>
  <x:si>
    <x:t xml:space="preserve">SRC-005 | 2026-10-11 추적: 이체 기능 없음 확인</x:t>
  </x:si>
  <x:si>
    <x:t xml:space="preserve">policy, application.yml(fgc.*), db/migration/V2_1__policy_parameter_and_fixes.sql</x:t>
  </x:si>
  <x:si>
    <x:t xml:space="preserve">PolicySnapshotQueriesIntegrationTest, CapCalculatorImplTest</x:t>
  </x:si>
  <x:si>
    <x:t xml:space="preserve">SRC-004,SRC-005 | 2026-10-11 추적: 요율·한도는 정책 데이터(policy_parameter·cap_rule)에서 조회(추정)</x:t>
  </x:si>
  <x:si>
    <x:t xml:space="preserve">db/demo(합성 시드)</x:t>
  </x:si>
  <x:si>
    <x:t xml:space="preserve">단일 Spring Boot 앱</x:t>
  </x:si>
  <x:si>
    <x:t xml:space="preserve">SRC-004,SRC-005 | 2026-10-11 추적: Kafka·MSA 의존성 없음 확인</x:t>
  </x:si>
  <x:si>
    <x:t xml:space="preserve">SRC-004,SRC-005 | 재정의 — 컬럼매핑 추천 예시 삭제(수집 제외) | 2026-10-11 추적: AI 호출 코드 없음 확인</x:t>
  </x:si>
  <x:si>
    <x:t xml:space="preserve">SRC-006 | 2026-10-11 추적: 라이선스 목록 산출물 필요</x:t>
  </x:si>
  <x:si>
    <x:t xml:space="preserve">README.md</x:t>
  </x:si>
  <x:si>
    <x:t xml:space="preserve">안전·복구설계서</x:t>
  </x:si>
  <x:si>
    <x:t xml:space="preserve">transaction(확정 Idempotency-Key, V11), journal(uq_journal_current_posted_source), validation</x:t>
  </x:si>
  <x:si>
    <x:t xml:space="preserve">- / POST /api/v1/transactions/{id}/confirm</x:t>
  </x:si>
  <x:si>
    <x:t xml:space="preserve">CommissionPaymentIntegrationTest, JournalCorrectionConcurrencyIntegrationTest, BatchWriterIdempotencyIntegrationTest</x:t>
  </x:si>
  <x:si>
    <x:t xml:space="preserve">SRC-004,SRC-005 | 2026-10-11 추적: 미해결 #431~#436 동시성·합산 버그</x:t>
  </x:si>
  <x:si>
    <x:t xml:space="preserve">cap, transaction, schedule</x:t>
  </x:si>
  <x:si>
    <x:t xml:space="preserve">CapCheckServiceImplTest, CommissionPaymentServiceImplTest, ScheduleServiceTest</x:t>
  </x:si>
  <x:si>
    <x:t xml:space="preserve">SRC-005 | 2026-10-11 추적: FGC-CAP-004·TRAN-007·SCHE-004로 차단</x:t>
  </x:si>
  <x:si>
    <x:t xml:space="preserve">validation(FINALIZED 불변), db/migration/V31</x:t>
  </x:si>
  <x:si>
    <x:t xml:space="preserve">FinalizedValidationRunImmutabilityIntegrationTest</x:t>
  </x:si>
  <x:si>
    <x:t xml:space="preserve">SRC-005 | 2026-10-11 추적: 검증실행 확정 불변은 1차 구현, 정산 마감 기능은 없음</x:t>
  </x:si>
  <x:si>
    <x:t xml:space="preserve">Jenkinsfile.fgc(ROLLBACK), infra/scripts/deploy-host.sh</x:t>
  </x:si>
  <x:si>
    <x:t xml:space="preserve">SRC-005 | 2026-10-11 추적: 롤백 파라미터 있음, Stage 시연 미확인(#454·#463)</x:t>
  </x:si>
  <x:si>
    <x:t xml:space="preserve">프로젝트관리계획서</x:t>
  </x:si>
  <x:si>
    <x:t xml:space="preserve">GitHub Issue/docs / -</x:t>
  </x:si>
  <x:si>
    <x:t xml:space="preserve">SRC-006 | 보강 — v2.0 베이스라인 갱신</x:t>
  </x:si>
  <x:si>
    <x:t xml:space="preserve">.github/ISSUE_TEMPLATE</x:t>
  </x:si>
  <x:si>
    <x:t xml:space="preserve">GitHub Issues/Projects / -</x:t>
  </x:si>
  <x:si>
    <x:t xml:space="preserve">사용자 선정 도구 | 보강 — 수집 Epic 제거</x:t>
  </x:si>
  <x:si>
    <x:t xml:space="preserve">docs/</x:t>
  </x:si>
  <x:si>
    <x:t xml:space="preserve">docs / -</x:t>
  </x:si>
  <x:si>
    <x:t xml:space="preserve">CONTRIBUTING.md</x:t>
  </x:si>
  <x:si>
    <x:t xml:space="preserve">CONTRIBUTING.md, .github/pull_request_template.md</x:t>
  </x:si>
  <x:si>
    <x:t xml:space="preserve">GitHub Projects / -</x:t>
  </x:si>
  <x:si>
    <x:t xml:space="preserve">사용자 확정 일정 | 보강 — 개발 마감일(발표 전일) 명시</x:t>
  </x:si>
  <x:si>
    <x:t xml:space="preserve">GitHub Issues / -</x:t>
  </x:si>
  <x:si>
    <x:t xml:space="preserve">.github/pull_request_template.md</x:t>
  </x:si>
  <x:si>
    <x:t xml:space="preserve">.github/workflows/ci.yml(build·frontend·Trivy 게이트)</x:t>
  </x:si>
  <x:si>
    <x:t xml:space="preserve">GitHub Actions / -</x:t>
  </x:si>
  <x:si>
    <x:t xml:space="preserve">SRC-006 | 2026-10-11 추적: CI 필수 체크로 운영</x:t>
  </x:si>
  <x:si>
    <x:t xml:space="preserve">infra/scripts/make-release.py, Jenkinsfile.fgc</x:t>
  </x:si>
  <x:si>
    <x:t xml:space="preserve">GitHub Releases / -</x:t>
  </x:si>
  <x:si>
    <x:t xml:space="preserve">docs/GitHub PR / -</x:t>
  </x:si>
  <x:si>
    <x:t xml:space="preserve">운영·사용자지원문서</x:t>
  </x:si>
  <x:si>
    <x:t xml:space="preserve">Notion / -</x:t>
  </x:si>
  <x:si>
    <x:t xml:space="preserve">.devcontainer/devcontainer.json, docker-compose.yml, README.md</x:t>
  </x:si>
  <x:si>
    <x:t xml:space="preserve">Local Setup / -</x:t>
  </x:si>
  <x:si>
    <x:t xml:space="preserve">common.config(OpenApiConfig)</x:t>
  </x:si>
  <x:si>
    <x:t xml:space="preserve">Swagger / /swagger-ui.html</x:t>
  </x:si>
  <x:si>
    <x:t xml:space="preserve">common/OpenApiFrontendIntegrationTest</x:t>
  </x:si>
  <x:si>
    <x:t xml:space="preserve">사용자 선정 도구 | 2026-10-11 추적: Swagger는 있음, 저장소에 Postman Collection 없음</x:t>
  </x:si>
  <x:si>
    <x:t xml:space="preserve">SRC-006 | 2026-10-11 추적: 2차 산출물(매뉴얼) 미확인</x:t>
  </x:si>
  <x:si>
    <x:t xml:space="preserve">SRC-005,SRC-006 | v2.1: 파일오류 표현 삭제 | 2026-10-11 추적: 2차 Runbook 저장소 내 미확인</x:t>
  </x:si>
  <x:si>
    <x:t xml:space="preserve">db/demo</x:t>
  </x:si>
  <x:si>
    <x:t xml:space="preserve">화면정의서 v2.0 ARB-W01 · CONT-W02 탭4 · 인터페이스정의서 IF-API-15·IF-API-32·IF-API-33</x:t>
  </x:si>
  <x:si>
    <x:t xml:space="preserve">arbitrage, validation.batch(ArbitrageCheckTasklet)</x:t>
  </x:si>
  <x:si>
    <x:t xml:space="preserve">FGC-UI-ARB-W01 / POST /api/v1/contracts/{id}/arbitrage-check · GET /api/v1/arbitrage-checks</x:t>
  </x:si>
  <x:si>
    <x:t xml:space="preserve">ArbitrageServiceTest, ArbitrageManualCheckIntegrationTest, ArbitrageApiIntegrationTest</x:t>
  </x:si>
  <x:si>
    <x:t xml:space="preserve">SRC-001,SRC-014,SRC-016,REG-12,REG-23 | v2.2.1: REG-23 36개월 예상 해약환급률표·코드 정합성 반영 | v2.2.2: 마스터·FUN·RTM 반영 확인 | 2026-10-11 추적: RTM 기존 모듈 validation.arbitrage→실제 arbitrage</x:t>
  </x:si>
  <x:si>
    <x:t xml:space="preserve">화면정의서 v2.0 MNTC-W01(2차)</x:t>
  </x:si>
  <x:si>
    <x:t xml:space="preserve">FGC-UI-MNTC-W01 / -</x:t>
  </x:si>
  <x:si>
    <x:t xml:space="preserve">v3.0 (2026-10-26, 현준): 팀 합의로 2차 범위 제외(미진행). 요구사항 ID와 기존 정의는 변경 이력으로 보존하며 이번 구현·인수 대상에는 포함하지 않는다.
근거: SRC-001,SRC-003,SRC-014,REG-03~07,REG-19
이전 추적 기록: 2026-10-11 추적: 유지관리수수료 검증 코드 없음</x:t>
  </x:si>
  <x:si>
    <x:t xml:space="preserve">데이터설계서 · 테이블정의서 v1.0</x:t>
  </x:si>
  <x:si>
    <x:t xml:space="preserve">src/main/resources/db/demo(V3__seed_demo_data, V4__seed_validation_scenarios 등)</x:t>
  </x:si>
  <x:si>
    <x:t xml:space="preserve">MonthlyValidationJobIntegrationTest, ReconciliationRunIntegrationTest</x:t>
  </x:si>
  <x:si>
    <x:t xml:space="preserve">SRC-004,SRC-005,SRC-014,REG-20,REG-21,REG-23 | v2.2.1: REG-20·21·23 합성 시나리오 추가 | v2.2.2: 마스터·DAR·RTM 반영·추적상태 확인 | 2026-10-11 추적: Flyway 시드로 반복 초기화 동일</x:t>
  </x:si>
  <x:si>
    <x:t xml:space="preserve">화면정의서 v2.0 TRAN-W01 · TRAN-W02 · 인터페이스정의서 IF-API-20~26</x:t>
  </x:si>
  <x:si>
    <x:t xml:space="preserve">transaction, cap, journal</x:t>
  </x:si>
  <x:si>
    <x:t xml:space="preserve">FGC-UI-TRAN-W02 / POST /api/v1/transactions · POST /api/v1/transactions/{id}/confirm</x:t>
  </x:si>
  <x:si>
    <x:t xml:space="preserve">CommissionPaymentIntegrationTest, CommissionPaymentServiceImplTest, CommissionPaymentApiControllerTest</x:t>
  </x:si>
  <x:si>
    <x:t xml:space="preserve">SRC-014,SRC-018,SRC-021,REG-20,REG-22,스키마패치 v1.1(TB_FGC_ACL) | v2.2.1: REG-20 정착지원금 귀속·REG-22 근거버전 반영 | 2026-10-11 추적: IF-API-26 취소(POST /transactions/{id}/cancel) 코드 없음. RTM 기존 /api/compensations·모듈 cap 낡음</x:t>
  </x:si>
  <x:si>
    <x:t xml:space="preserve">요구사항명세서</x:t>
  </x:si>
  <x:si>
    <x:t xml:space="preserve">팀 결정 2026-07-31 | v2.1: 활성 1차 스키마에서도 수집 모듈 제외 | 2026-10-11 추적: 업로드·스테이징 코드 없음 확인 | v2.2.2-r17: OI-021 결정 — 2차 한정 입력 보조 예외(FUN-066~069)</x:t>
  </x:si>
  <x:si>
    <x:t xml:space="preserve">화면정의서 v2.0 §6-A·§4-3(r15 제안) · 인터페이스정의서 §4-2·§10-6(r15 제안)</x:t>
  </x:si>
  <x:si>
    <x:t xml:space="preserve">FGC-UI-INTK-W01 / IF-API-53·54·56·59</x:t>
  </x:si>
  <x:si>
    <x:t xml:space="preserve">v3.0 (2026-10-26, 현준): 팀 합의로 2차 범위 제외(미진행). 요구사항 ID와 기존 정의는 변경 이력으로 보존하며 이번 구현·인수 대상에는 포함하지 않는다.
근거: SRC-025(2차 FAQ Q12-2·정산데이터),REG-23,SRC-057,SRC-058,SRC-027(D-05),OI-021</x:t>
  </x:si>
  <x:si>
    <x:t xml:space="preserve">FGC-UI-INTK-W02 / IF-API-55·57·58·75</x:t>
  </x:si>
  <x:si>
    <x:t xml:space="preserve">v3.0 (2026-10-26, 현준): 팀 합의로 2차 범위 제외(미진행). 요구사항 ID와 기존 정의는 변경 이력으로 보존하며 이번 구현·인수 대상에는 포함하지 않는다.
근거: REG-23,REG-12,REG-08,REG-22,SRC-025(2차 FAQ Q12-2 :212-236),SRC-049,SRC-027</x:t>
  </x:si>
  <x:si>
    <x:t xml:space="preserve">FGC-UI-INTK-W02 / IF-API-55·57·58</x:t>
  </x:si>
  <x:si>
    <x:t xml:space="preserve">v3.0 (2026-10-26, 현준): 팀 합의로 2차 범위 제외(미진행). 요구사항 ID와 기존 정의는 변경 이력으로 보존하며 이번 구현·인수 대상에는 포함하지 않는다.
근거: SRC-025(2차 FAQ :292·:302 정산데이터),SRC-005,SRC-027,운영정책서 원천유형별 대사 대상 요건,REG-08,REG-22,SRC-057</x:t>
  </x:si>
  <x:si>
    <x:t xml:space="preserve">FGC-UI-INTK-W02 / IF-API-55·55A·57·58(행 제외는 57)</x:t>
  </x:si>
  <x:si>
    <x:t xml:space="preserve">v3.0 (2026-10-26, 현준): 팀 합의로 2차 범위 제외(미진행). 요구사항 ID와 기존 정의는 변경 이력으로 보존하며 이번 구현·인수 대상에는 포함하지 않는다.
근거: COR-007,SAR-001,SAR-002,REG-22</x:t>
  </x:si>
  <x:si>
    <x:t xml:space="preserve">FGC-UI-INTK-W02 → POL-W02 / IF-API-58</x:t>
  </x:si>
  <x:si>
    <x:t xml:space="preserve">v3.0 (2026-10-26, 현준): 팀 합의로 2차 범위 제외(미진행). 요구사항 ID와 기존 정의는 변경 이력으로 보존하며 이번 구현·인수 대상에는 포함하지 않는다.
근거: SRC-058,SRC-019,SRC-020,REG-09,REG-22,COR-004</x:t>
  </x:si>
  <x:si>
    <x:t xml:space="preserve">FGC-UI-INTK-W02 → CONT-W03 / IF-API-58</x:t>
  </x:si>
  <x:si>
    <x:t xml:space="preserve">v3.0 (2026-10-26, 현준): 팀 합의로 2차 범위 제외(미진행). 요구사항 ID와 기존 정의는 변경 이력으로 보존하며 이번 구현·인수 대상에는 포함하지 않는다.
근거: SRC-027(D-05 계약자 개인정보 미저장),DAR-008,COR-005,SRC-057</x:t>
  </x:si>
  <x:si>
    <x:t xml:space="preserve">FGC-UI-LIB-W01 / IF-API-70·61</x:t>
  </x:si>
  <x:si>
    <x:t xml:space="preserve">v3.0 (2026-10-26, 현준): 팀 합의로 2차 범위 제외(미진행). 요구사항 ID와 기존 정의는 변경 이력으로 보존하며 이번 구현·인수 대상에는 포함하지 않는다.
근거: SRC-022,SRC-023,SRC-025,SRC-045(ADR-04 pgvector)</x:t>
  </x:si>
  <x:si>
    <x:t xml:space="preserve">FGC-UI-CMN-C01 · LIB-W01 / IF-API-61</x:t>
  </x:si>
  <x:si>
    <x:t xml:space="preserve">v3.0 (2026-10-26, 현준): 팀 합의로 2차 범위 제외(미진행). 요구사항 ID와 기존 정의는 변경 이력으로 보존하며 이번 구현·인수 대상에는 포함하지 않는다.
근거: SRC-022,SRC-025,SRC-045,SRC-052(70·28·2 근거 없음),REG-19,REG-20</x:t>
  </x:si>
  <x:si>
    <x:t xml:space="preserve">FGC-UI-CONT-W02(2차 탭) / IF-API-64</x:t>
  </x:si>
  <x:si>
    <x:t xml:space="preserve">v3.0 (2026-10-26, 현준): 포함 확정(S), 구현 후순위. 상태 사건·보류·재개·환수 검토의 순수 계산 미리보기 유지, FUN-064 의존성 제거. 이전 개정은 Z1_개정이력 참조.
근거: REG-12,REG-13,REG-14,SRC-025(2차 FAQ Q11·Q12),SRC-054
참조 설계문서는 기존 버전이며 v3.0 변경 범위의 후속 동기화가 필요하다.</x:t>
  </x:si>
  <x:si>
    <x:t xml:space="preserve">FGC-UI-INTK-W02 · CMPR-W01 / IF-API-58·65</x:t>
  </x:si>
  <x:si>
    <x:t xml:space="preserve">v3.0 (2026-10-26, 현준): 팀 합의로 2차 범위 제외(미진행). 요구사항 ID와 기존 정의는 변경 이력으로 보존하며 이번 구현·인수 대상에는 포함하지 않는다.
근거: REG-18,SRC-056(별표 5의6 제5호),SRC-022(제4-11조①),SRC-002,SRC-025(Q17~Q23),OI-024,OI-025</x:t>
  </x:si>
  <x:si>
    <x:t xml:space="preserve">FGC-UI-DASH-W01(2차 개정) / IF-API-68·69 · IF-API-03 집계 재사용</x:t>
  </x:si>
  <x:si>
    <x:t xml:space="preserve">v3.0 (2026-10-26, 현준): 포함 확정(M). GA·설계사 현황과 미처리 예외 두 영역으로 축소. 자료마당·공지·문의 및 준비 중 영역을 제외한다. 이전 개정은 Z1_개정이력 참조.
근거: FUN-057,SRC-054,REG-08(계약별 한도),SRC-032(예외 업무건 집계),PER-004
참조 설계문서는 기존 버전이며 v3.0 변경 범위의 후속 동기화가 필요하다.</x:t>
  </x:si>
  <x:si>
    <x:t xml:space="preserve">FGC-UI-LIB-W01 · DASH-W01 / IF-API-70 · IF-BAT-06 · IF-EXT-04</x:t>
  </x:si>
  <x:si>
    <x:t xml:space="preserve">v3.0 (2026-10-26, 현준): 팀 합의로 2차 범위 제외(미진행). 요구사항 ID와 기존 정의는 변경 이력으로 보존하며 이번 구현·인수 대상에는 포함하지 않는다.
근거: SRC-055</x:t>
  </x:si>
  <x:si>
    <x:t xml:space="preserve">FGC-UI-BORD-W01 / IF-API-71·71A·71B</x:t>
  </x:si>
  <x:si>
    <x:t xml:space="preserve">v3.0 (2026-10-26, 현준): 팀 합의로 2차 범위 제외(미진행). 요구사항 ID와 기존 정의는 변경 이력으로 보존하며 이번 구현·인수 대상에는 포함하지 않는다.
근거: 업무 규칙 아님 — 가상 GA 정책으로 정함</x:t>
  </x:si>
  <x:si>
    <x:t xml:space="preserve">FGC-UI-BORD-W02 / IF-API-72·72A·72B</x:t>
  </x:si>
  <x:si>
    <x:t xml:space="preserve">v3.0 (2026-10-26, 현준): 팀 합의로 2차 범위 제외(미진행). 요구사항 ID와 기존 정의는 변경 이력으로 보존하며 이번 구현·인수 대상에는 포함하지 않는다.
근거: SRC-025(2차 FAQ Q11 환수 사유·금액 안내),REG-12,업무 규칙 아님 — 가상 GA 정책으로 정함(처리 절차·기한)</x:t>
  </x:si>
  <x:si>
    <x:t xml:space="preserve">FGC-UI-CMN-C02 / IF-API-07·11(keyword·page)</x:t>
  </x:si>
  <x:si>
    <x:t xml:space="preserve">SRC-051(멘토 피드백: 화면을 오가는 수기 입력),SRC-028(구현 기술표준·접근성) | v2.2.2-r15 신규(2026-10-21) — 팀 승인 전 제안(상태 초안) · r16(2026-10-22) 독립 검토 반영 · r18 재검토 반영 · r19 추가 보완 반영 | 2026-10-22 화면정의서·인터페이스정의서(repo 정본) r15 제안 반영 · r16 독립 검토 반영 · r18 재검토 반영 · r19 추가 보완 반영</x:t>
  </x:si>
  <x:si>
    <x:t xml:space="preserve">데이터·테스트 설계 미작성(r15 제안)</x:t>
  </x:si>
  <x:si>
    <x:t xml:space="preserve">해당 없음(독립 화면·API 없음) / 검증 산출물: 시드 생성기·정답표·단계별 성능 기록</x:t>
  </x:si>
  <x:si>
    <x:t xml:space="preserve">DAR-011,PER-003,SRC-054,SRC-027(D-05),SRC-022(제4-11조① 500명 이상 대형 GA, OI-024) | v2.2.2-r15 신규(2026-10-21) — 팀 승인 전 제안(상태 초안) · r16(2026-10-22) 독립 검토 반영 · r18 재검토 반영 · r19 추가 보완 반영 | 2026-10-22 화면정의서·인터페이스정의서(repo 정본) r15 제안 반영 · r16 독립 검토 반영 · r18 재검토 반영 · r19 추가 보완 반영</x:t>
  </x:si>
  <x:si>
    <x:t xml:space="preserve">- / IF-EXT-03</x:t>
  </x:si>
  <x:si>
    <x:t xml:space="preserve">SRC-057,SRC-059,SRC-060,SRC-027(D-05),SRC-045,SER-008,OI-023 | v2.2.2-r15 신규(2026-10-21) — 팀 승인 전 제안(상태 초안) · r16(2026-10-22) 독립 검토 반영 · r18 재검토 반영 · r19 추가 보완 반영 | 2026-10-22 화면정의서·인터페이스정의서(repo 정본) r15 제안 반영 · r16 독립 검토 반영 · r18 재검토 반영 · r19 추가 보완 반영</x:t>
  </x:si>
  <x:si>
    <x:t xml:space="preserve">해당 없음(독립 화면·API 없음) / 검증 산출물: AI 평가셋·평가 결과표</x:t>
  </x:si>
  <x:si>
    <x:t xml:space="preserve">SRC-053,SRC-057,TER-003,COR-007 | v2.2.2-r15 신규(2026-10-21) — 팀 승인 전 제안(상태 초안) · r16(2026-10-22) 독립 검토 반영 · r18 재검토 반영 · r19 추가 보완 반영 | 2026-10-22 화면정의서·인터페이스정의서(repo 정본) r15 제안 반영 · r16 독립 검토 반영 · r18 재검토 반영 · r19 추가 보완 반영</x:t>
  </x:si>
  <x:si>
    <x:t xml:space="preserve">해당 없음(독립 화면·API 없음) / 검증 산출물: AI 처리시간 측정표(ai_call_log 기반)</x:t>
  </x:si>
  <x:si>
    <x:t xml:space="preserve">업무 규칙 아님 — 가상 GA 정책으로 정함,SRC-057(파일 크기·토큰 고려) | v2.2.2-r15 신규(2026-10-21) — 팀 승인 전 제안(상태 초안) · r16(2026-10-22) 독립 검토 반영 · r18 재검토 반영 · r19 추가 보완 반영 | 2026-10-22 화면정의서·인터페이스정의서(repo 정본) r15 제안 반영 · r16 독립 검토 반영 · r18 재검토 반영 · r19 추가 보완 반영</x:t>
  </x:si>
  <x:si>
    <x:t xml:space="preserve">UC ID</x:t>
  </x:si>
  <x:si>
    <x:t xml:space="preserve">유스케이스명</x:t>
  </x:si>
  <x:si>
    <x:t xml:space="preserve">액터</x:t>
  </x:si>
  <x:si>
    <x:t xml:space="preserve">사전조건</x:t>
  </x:si>
  <x:si>
    <x:t xml:space="preserve">기본 흐름 (요약)</x:t>
  </x:si>
  <x:si>
    <x:t xml:space="preserve">대안·예외 흐름</x:t>
  </x:si>
  <x:si>
    <x:t xml:space="preserve">데모 시나리오 단계</x:t>
  </x:si>
  <x:si>
    <x:t xml:space="preserve">UC-01</x:t>
  </x:si>
  <x:si>
    <x:t xml:space="preserve">대시보드 조회 (로그인·권한)</x:t>
  </x:si>
  <x:si>
    <x:t xml:space="preserve">GA 관리자</x:t>
  </x:si>
  <x:si>
    <x:t xml:space="preserve">계정 존재</x:t>
  </x:si>
  <x:si>
    <x:t xml:space="preserve">로그인 → 대시보드에서 당월 계약별 1,200% 사용량·스케줄 생성실패·대사 불일치·차익거래 후보·미처리 예외 요약 확인 → 항목 클릭 시 해당 목록 이동(FUN-057)</x:t>
  </x:si>
  <x:si>
    <x:t xml:space="preserve">권한 없는 메뉴 접근 차단</x:t>
  </x:si>
  <x:si>
    <x:t xml:space="preserve">FGC-FUN-057, FGC-FUN-002</x:t>
  </x:si>
  <x:si>
    <x:t xml:space="preserve">UC-02</x:t>
  </x:si>
  <x:si>
    <x:t xml:space="preserve">신계약 등록</x:t>
  </x:si>
  <x:si>
    <x:t xml:space="preserve">기준정보 시드 적재 완료</x:t>
  </x:si>
  <x:si>
    <x:t xml:space="preserve">계약 정보 입력 → 서버 검증 → 저장 → 계약 상세·한도 화면 이동</x:t>
  </x:si>
  <x:si>
    <x:t xml:space="preserve">필수값 누락·계약번호 중복 시 저장 거부와 이해 가능한 오류 메시지 표시</x:t>
  </x:si>
  <x:si>
    <x:t xml:space="preserve">UC-03</x:t>
  </x:si>
  <x:si>
    <x:t xml:space="preserve">현행 예상 스케줄 생성·조회</x:t>
  </x:si>
  <x:si>
    <x:t xml:space="preserve">정산담당자</x:t>
  </x:si>
  <x:si>
    <x:t xml:space="preserve">계약과 활성 수수료정책 시드 존재</x:t>
  </x:si>
  <x:si>
    <x:t xml:space="preserve">계약 상세 → 현행 정책 선택 → 원수사→GA 예상수입·GA→설계사 예상지급 스케줄 생성 → 회차·항목·금액·정책버전 확인</x:t>
  </x:si>
  <x:si>
    <x:t xml:space="preserve">정책 미존재·중복이면 생성 차단 후 REVIEW_REQUIRED</x:t>
  </x:si>
  <x:si>
    <x:t xml:space="preserve">FGC-FUN-011, FGC-FUN-036~040</x:t>
  </x:si>
  <x:si>
    <x:t xml:space="preserve">UC-04</x:t>
  </x:si>
  <x:si>
    <x:t xml:space="preserve">월 규제·정산 통합검증 실행</x:t>
  </x:si>
  <x:si>
    <x:t xml:space="preserve">대상월 스케줄·지급 건·실제명세·보험료/환급금 시드 존재</x:t>
  </x:si>
  <x:si>
    <x:t xml:space="preserve">대상월 선택 → 스케줄 재확인 → 1,200%·원장균형·대사·차익거래 실행 → 결과집계 → 확정</x:t>
  </x:si>
  <x:si>
    <x:t xml:space="preserve">동일월 활성실행 중복 차단; 실패는 원인 보존 후 새 실행으로 재검증</x:t>
  </x:si>
  <x:si>
    <x:t xml:space="preserve">FGC-FUN-041~044, FGC-FUN-046~053, FGC-FUN-063</x:t>
  </x:si>
  <x:si>
    <x:t xml:space="preserve">UC-05</x:t>
  </x:si>
  <x:si>
    <x:t xml:space="preserve">복식원장 조회·예상/실제 대사</x:t>
  </x:si>
  <x:si>
    <x:t xml:space="preserve">예상스케줄과 실제명세 또는 확정 지급 건 존재</x:t>
  </x:si>
  <x:si>
    <x:t xml:space="preserve">예상·실제 원천 기표 → 차변/대변 균형 확인 → 계약·설계사·항목·회차별 매칭 → 불일치 유형·예외 확인</x:t>
  </x:si>
  <x:si>
    <x:t xml:space="preserve">불균형 분개 저장 차단; 누락·중복·금액차·미매칭 예외 생성</x:t>
  </x:si>
  <x:si>
    <x:t xml:space="preserve">FGC-FUN-046~053</x:t>
  </x:si>
  <x:si>
    <x:t xml:space="preserve">4·5</x:t>
  </x:si>
  <x:si>
    <x:t xml:space="preserve">UC-06</x:t>
  </x:si>
  <x:si>
    <x:t xml:space="preserve">해지·환수 처리(2차)</x:t>
  </x:si>
  <x:si>
    <x:t xml:space="preserve">4년·7년 분급 계약과 상태이력 존재</x:t>
  </x:si>
  <x:si>
    <x:t xml:space="preserve">계약상태 변경 → 미래 유지관리 회차 보류 → 환수 검토대상 생성·계산 → 원장·대사 반영</x:t>
  </x:si>
  <x:si>
    <x:t xml:space="preserve">정책·근거가 없으면 계산확정 차단</x:t>
  </x:si>
  <x:si>
    <x:t xml:space="preserve">FGC-FUN-025~029, FGC-FUN-054~056, FGC-FUN-064</x:t>
  </x:si>
  <x:si>
    <x:t xml:space="preserve">UC-07</x:t>
  </x:si>
  <x:si>
    <x:t xml:space="preserve">계약별 한도 경고 확인</x:t>
  </x:si>
  <x:si>
    <x:t xml:space="preserve">한도 근접 계약 존재</x:t>
  </x:si>
  <x:si>
    <x:t xml:space="preserve">초과를 유발하는 지급 건 입력 → DRAFT 저장 → 확정 시 경고/차단 → 계약별 게이지 변화 확인</x:t>
  </x:si>
  <x:si>
    <x:t xml:space="preserve">FGC-FUN-030~034</x:t>
  </x:si>
  <x:si>
    <x:t xml:space="preserve">UC-08</x:t>
  </x:si>
  <x:si>
    <x:t xml:space="preserve">4년·7년 법정 분급 검증(2차)</x:t>
  </x:si>
  <x:si>
    <x:t xml:space="preserve">2027 또는 2029 룰셋·계약체결비용·계약상태 시드 존재</x:t>
  </x:si>
  <x:si>
    <x:t xml:space="preserve">적용일에 맞는 4년/7년 스케줄 생성 → 첫 1년 1,200% → 계약체결비용 → 유지관리·장기유지 조건 검증 → 원장·대사 재사용</x:t>
  </x:si>
  <x:si>
    <x:t xml:space="preserve">한도·유지조건 실패 회차는 확정 차단·예외 생성</x:t>
  </x:si>
  <x:si>
    <x:t xml:space="preserve">FGC-FUN-014, FGC-FUN-030, FGC-FUN-033, FGC-FUN-037~038, FGC-FUN-062, FGC-FUN-064</x:t>
  </x:si>
  <x:si>
    <x:t xml:space="preserve">UC-09</x:t>
  </x:si>
  <x:si>
    <x:t xml:space="preserve">기준정보 조회·선택</x:t>
  </x:si>
  <x:si>
    <x:t xml:space="preserve">계약·지급 건 등록 화면에서 보험회사·상품·설계사·수수료 항목 선택</x:t>
  </x:si>
  <x:si>
    <x:t xml:space="preserve">사용중지·기간종료 기준정보는 선택목록에서 제외</x:t>
  </x:si>
  <x:si>
    <x:t xml:space="preserve">FGC-FUN-005~009</x:t>
  </x:si>
  <x:si>
    <x:t xml:space="preserve">UC-10</x:t>
  </x:si>
  <x:si>
    <x:t xml:space="preserve">차익거래 후보 검증</x:t>
  </x:si>
  <x:si>
    <x:t xml:space="preserve">준법/감사</x:t>
  </x:si>
  <x:si>
    <x:t xml:space="preserve">계약별 기준일 스냅샷 존재</x:t>
  </x:si>
  <x:si>
    <x:t xml:space="preserve">계약 선택 또는 월 실행 → 수수료누계+해약환급금과 누적보험료 비교 → 최초 후보시점·계산근거 확인 → 예외 검토</x:t>
  </x:si>
  <x:si>
    <x:t xml:space="preserve">입력 부족 시 REVIEW_REQUIRED, 후보는 법적 위반 확정이 아닌 검토대상으로 표시</x:t>
  </x:si>
  <x:si>
    <x:t xml:space="preserve">FGC-FUN-041, FGC-FUN-052~053, FGC-FUN-063</x:t>
  </x:si>
  <x:si>
    <x:t xml:space="preserve">UC-11</x:t>
  </x:si>
  <x:si>
    <x:t xml:space="preserve">지급 건 등록·한도 게이트</x:t>
  </x:si>
  <x:si>
    <x:t xml:space="preserve">계약·설계사·수수료 항목 시드 존재</x:t>
  </x:si>
  <x:si>
    <x:t xml:space="preserve">지급 건 입력 → DRAFT 저장 → 확정 요청 → 계약별 1,200% 사전검증</x:t>
  </x:si>
  <x:si>
    <x:t xml:space="preserve">한도 이내면 CONFIRMED. 초과·판단근거 미비면 확정 차단과 예외 생성; DRAFT는 보존</x:t>
  </x:si>
  <x:si>
    <x:t xml:space="preserve">FGC-FUN-065, FGC-FUN-033, FGC-FUN-034</x:t>
  </x:si>
  <x:si>
    <x:t xml:space="preserve">2·5</x:t>
  </x:si>
  <x:si>
    <x:t xml:space="preserve">용어</x:t>
  </x:si>
  <x:si>
    <x:t xml:space="preserve">영문·코드</x:t>
  </x:si>
  <x:si>
    <x:t xml:space="preserve">출처</x:t>
  </x:si>
  <x:si>
    <x:t xml:space="preserve">독립보험대리점</x:t>
  </x:si>
  <x:si>
    <x:t xml:space="preserve">GA (General Agency)</x:t>
  </x:si>
  <x:si>
    <x:t xml:space="preserve">특정 보험사에 소속되지 않고 여러 원수사의 상품을 판매하는 독립 대리점</x:t>
  </x:si>
  <x:si>
    <x:t xml:space="preserve">규정·실무</x:t>
  </x:si>
  <x:si>
    <x:t xml:space="preserve">2026.7 기준 국내 수천 개사 운영</x:t>
  </x:si>
  <x:si>
    <x:t xml:space="preserve">원수사 (제휴보험사)</x:t>
  </x:si>
  <x:si>
    <x:t xml:space="preserve">Insurer</x:t>
  </x:si>
  <x:si>
    <x:t xml:space="preserve">GA와 제휴를 맺고 상품을 공급하는 생·손보사</x:t>
  </x:si>
  <x:si>
    <x:t xml:space="preserve">실무(특허)</x:t>
  </x:si>
  <x:si>
    <x:t xml:space="preserve">설계사</x:t>
  </x:si>
  <x:si>
    <x:t xml:space="preserve">FC (Financial Consultant)</x:t>
  </x:si>
  <x:si>
    <x:t xml:space="preserve">GA 소속으로 보험을 모집·판매하는 개인</x:t>
  </x:si>
  <x:si>
    <x:t xml:space="preserve">실무</x:t>
  </x:si>
  <x:si>
    <x:t xml:space="preserve">제휴코드 (사용인코드)</x:t>
  </x:si>
  <x:si>
    <x:t xml:space="preserve">AffiliationCode</x:t>
  </x:si>
  <x:si>
    <x:t xml:space="preserve">원수사에 등록된 GA 소속 설계사의 고유 식별 코드. 설계사는 원수사별로 1개 이상 보유</x:t>
  </x:si>
  <x:si>
    <x:t xml:space="preserve">대사(Reconciliation) 검증 키</x:t>
  </x:si>
  <x:si>
    <x:t xml:space="preserve">증권번호</x:t>
  </x:si>
  <x:si>
    <x:t xml:space="preserve">PolicyNo</x:t>
  </x:si>
  <x:si>
    <x:t xml:space="preserve">계약 식별 번호. 보험사 데이터 대사의 1차 검증 키</x:t>
  </x:si>
  <x:si>
    <x:t xml:space="preserve">계약원장</x:t>
  </x:si>
  <x:si>
    <x:t xml:space="preserve">Contract Ledger</x:t>
  </x:si>
  <x:si>
    <x:t xml:space="preserve">GA가 보유한 계약 원본 대장</x:t>
  </x:si>
  <x:si>
    <x:t xml:space="preserve">인사원장</x:t>
  </x:si>
  <x:si>
    <x:t xml:space="preserve">HR Ledger</x:t>
  </x:si>
  <x:si>
    <x:t xml:space="preserve">설계사 인적정보·제휴코드를 담은 GA 인사 대장</x:t>
  </x:si>
  <x:si>
    <x:t xml:space="preserve">월납보험료</x:t>
  </x:si>
  <x:si>
    <x:t xml:space="preserve">Monthly Premium</x:t>
  </x:si>
  <x:si>
    <x:t xml:space="preserve">월 단위 납입 보험료. 1200% 한도의 기준값</x:t>
  </x:si>
  <x:si>
    <x:t xml:space="preserve">규정</x:t>
  </x:si>
  <x:si>
    <x:t xml:space="preserve">회차</x:t>
  </x:si>
  <x:si>
    <x:t xml:space="preserve">Tenor / Installment</x:t>
  </x:si>
  <x:si>
    <x:t xml:space="preserve">보험료 납입 및 수수료 지급의 월 단위 차수 (1~84회차)</x:t>
  </x:si>
  <x:si>
    <x:t xml:space="preserve">팀 DDD</x:t>
  </x:si>
  <x:si>
    <x:t xml:space="preserve">Value Object</x:t>
  </x:si>
  <x:si>
    <x:t xml:space="preserve">선지급 수수료</x:t>
  </x:si>
  <x:si>
    <x:t xml:space="preserve">Upfront Commission</x:t>
  </x:si>
  <x:si>
    <x:t xml:space="preserve">계약 초기에 집중 지급되는 모집수수료</x:t>
  </x:si>
  <x:si>
    <x:t xml:space="preserve">유지관리수수료(개념)</x:t>
  </x:si>
  <x:si>
    <x:t xml:space="preserve">Maintenance Fee</x:t>
  </x:si>
  <x:si>
    <x:t xml:space="preserve">계약이 유지되는 동안 회차별로 나누어 지급하는 판매수수료. 정확한 요율·기간은 적용 룰셋과 시행시점에 따라 달라진다.</x:t>
  </x:si>
  <x:si>
    <x:t xml:space="preserve">2차 분급 기능의 핵심 개념</x:t>
  </x:si>
  <x:si>
    <x:t xml:space="preserve">법정 분급</x:t>
  </x:si>
  <x:si>
    <x:t xml:space="preserve">Statutory Deferred Commission</x:t>
  </x:si>
  <x:si>
    <x:t xml:space="preserve">보험업감독규정에 따라 유지관리수수료 등을 여러 해에 나누어 지급하는 제도. 판매개시일이 2027-01-01 이후인 보장성 상품의 기초서류부터 적용한다(SRC-022 부칙 제2조). 2028-12-31까지는 4년·월 1.5% 특례, 그 뒤는 7년·월 0.8% 체계다(부칙 제3조①. TM·방송 특례는 FGC가 대면 모집만 하므로 해당 없음, SRC-036). 특례 종료의 기준일(지급일·판매개시일·계약일)은 문언상 미확정이다. 연도만으로 체계를 정하지 않는다.</x:t>
  </x:si>
  <x:si>
    <x:t xml:space="preserve">기존 회사별 분할지급 스케줄과 구분</x:t>
  </x:si>
  <x:si>
    <x:t xml:space="preserve">예상 수수료 스케줄</x:t>
  </x:si>
  <x:si>
    <x:t xml:space="preserve">Commission Schedule</x:t>
  </x:si>
  <x:si>
    <x:t xml:space="preserve">계약 1건에 대해 누가 누구에게, 어느 회차에, 어떤 항목으로, 얼마를 지급할 예정인지 나타내는 계획 집합. 현행 회사별 스케줄과 4년·7년 법정 분급 스케줄을 모두 담는 상위 개념.</x:t>
  </x:si>
  <x:si>
    <x:t xml:space="preserve">Aggregate · schedule_direction과 rule_set_type으로 구분</x:t>
  </x:si>
  <x:si>
    <x:t xml:space="preserve">1200%룰</x:t>
  </x:si>
  <x:si>
    <x:t xml:space="preserve">1200% Cap</x:t>
  </x:si>
  <x:si>
    <x:t xml:space="preserve">2026년 7월 1일 체결 계약부터 GA 소속 설계사에게도 적용되는 초년도 모집수수료 한도 규칙. 기본 한도는 월납보험료의 12배이며 규제 판정은 개별 계약 기준으로 관리한다.</x:t>
  </x:si>
  <x:si>
    <x:t xml:space="preserve">시행일·기본식 확정, 산입 세부는 FAQ/근거 버전 관리</x:t>
  </x:si>
  <x:si>
    <x:t xml:space="preserve">한도 사용량</x:t>
  </x:si>
  <x:si>
    <x:t xml:space="preserve">CapUsage</x:t>
  </x:si>
  <x:si>
    <x:t xml:space="preserve">1200% 한도 대비 누적 사용액(수수료+시책+정착지원금 합산)</x:t>
  </x:si>
  <x:si>
    <x:t xml:space="preserve">VO vs Aggregate — 회의 결정 D-03</x:t>
  </x:si>
  <x:si>
    <x:t xml:space="preserve">시책</x:t>
  </x:si>
  <x:si>
    <x:t xml:space="preserve">Sales Incentive</x:t>
  </x:si>
  <x:si>
    <x:t xml:space="preserve">보험상품 판매를 촉진하기 위해 지급하는 추가 인센티브. 모집계약에 귀속되는 시책수수료는 1,200%룰 산입 예시에 포함된다.</x:t>
  </x:si>
  <x:si>
    <x:t xml:space="preserve">명칭보다 지급 목적·계약귀속 확인</x:t>
  </x:si>
  <x:si>
    <x:t xml:space="preserve">정착지원금</x:t>
  </x:si>
  <x:si>
    <x:t xml:space="preserve">Settlement Support</x:t>
  </x:si>
  <x:si>
    <x:t xml:space="preserve">경력설계사(제4-32조⑦3호 신인 비해당자)에게 등록·위촉과 관련해 지급하는 금액으로 수수료등에 포함된다. 신인의 정착지원비는 신인활동지원비로 따로 구분한다. 약정일·지급조건·모집계약 귀속·계약별 배분을 함께 기록한다.</x:t>
  </x:si>
  <x:si>
    <x:t xml:space="preserve">규정·FAQ(REG-20·21, SRC-025 Q6·Q7-1)</x:t>
  </x:si>
  <x:si>
    <x:t xml:space="preserve">지급월만 늦춰도 자동 제외되지 않음</x:t>
  </x:si>
  <x:si>
    <x:t xml:space="preserve">유지율</x:t>
  </x:si>
  <x:si>
    <x:t xml:space="preserve">Persistency (13/25/49회차)</x:t>
  </x:si>
  <x:si>
    <x:t xml:space="preserve">특정 회차까지 계약이 유지되는 비율. 시뮬레이터의 핵심 입력</x:t>
  </x:si>
  <x:si>
    <x:t xml:space="preserve">조건부 확률로 모델링(예소)</x:t>
  </x:si>
  <x:si>
    <x:t xml:space="preserve">실효</x:t>
  </x:si>
  <x:si>
    <x:t xml:space="preserve">Lapse</x:t>
  </x:si>
  <x:si>
    <x:t xml:space="preserve">보험료 미납으로 계약 효력이 정지된 상태</x:t>
  </x:si>
  <x:si>
    <x:t xml:space="preserve">해지</x:t>
  </x:si>
  <x:si>
    <x:t xml:space="preserve">Termination/Surrender</x:t>
  </x:si>
  <x:si>
    <x:t xml:space="preserve">계약이 종료된 상태. 환수 트리거</x:t>
  </x:si>
  <x:si>
    <x:t xml:space="preserve">부활</x:t>
  </x:si>
  <x:si>
    <x:t xml:space="preserve">Reinstatement</x:t>
  </x:si>
  <x:si>
    <x:t xml:space="preserve">실효 계약이 요건 충족으로 효력을 회복하는 것</x:t>
  </x:si>
  <x:si>
    <x:t xml:space="preserve">Clawback</x:t>
  </x:si>
  <x:si>
    <x:t xml:space="preserve">조기 해지 등으로 기지급 수수료 중 미상각분을 회수하는 것</x:t>
  </x:si>
  <x:si>
    <x:t xml:space="preserve">미상각 잔액</x:t>
  </x:si>
  <x:si>
    <x:t xml:space="preserve">Unamortized Balance</x:t>
  </x:si>
  <x:si>
    <x:t xml:space="preserve">지급된 수수료 중 아직 유지 기간으로 소화되지 않은 잔액. 환수액 산출 기준</x:t>
  </x:si>
  <x:si>
    <x:t xml:space="preserve">회계·팀</x:t>
  </x:si>
  <x:si>
    <x:t xml:space="preserve">산식은 도메인모델정의서 §6 (규정 확정 전 예시)</x:t>
  </x:si>
  <x:si>
    <x:t xml:space="preserve">기표</x:t>
  </x:si>
  <x:si>
    <x:t xml:space="preserve">Posting</x:t>
  </x:si>
  <x:si>
    <x:t xml:space="preserve">거래를 원장 분개로 확정 기록하는 행위</x:t>
  </x:si>
  <x:si>
    <x:t xml:space="preserve">회계</x:t>
  </x:si>
  <x:si>
    <x:t xml:space="preserve">분개 (차변/대변)</x:t>
  </x:si>
  <x:si>
    <x:t xml:space="preserve">Journal Entry (Dr/Cr)</x:t>
  </x:si>
  <x:si>
    <x:t xml:space="preserve">복식부기의 기본 기록 단위. FGC에서는 예상·실제 돈흐름을 검증하는 보조원장에 사용하며 한 분개번호의 차변합계와 대변합계가 반드시 같아야 한다.</x:t>
  </x:si>
  <x:si>
    <x:t xml:space="preserve">회계·팀 내부통제</x:t>
  </x:si>
  <x:si>
    <x:t xml:space="preserve">공식 법정 회계장부가 아님</x:t>
  </x:si>
  <x:si>
    <x:t xml:space="preserve">역분개</x:t>
  </x:si>
  <x:si>
    <x:t xml:space="preserve">Reversing Entry</x:t>
  </x:si>
  <x:si>
    <x:t xml:space="preserve">확정 분개의 정정을 위해 반대 방향으로 기표하는 것. 원본 수정 금지 원칙의 수단</x:t>
  </x:si>
  <x:si>
    <x:t xml:space="preserve">검증 실행</x:t>
  </x:si>
  <x:si>
    <x:t xml:space="preserve">Validation Run</x:t>
  </x:si>
  <x:si>
    <x:t xml:space="preserve">대상월의 스케줄·지급 건·실제명세·보험료·해약환급금 데이터를 묶어 1,200%·원장대사·차익거래를 검사하는 실행 단위. 실제 송금·법정 회계마감은 아니다.</x:t>
  </x:si>
  <x:si>
    <x:t xml:space="preserve">FGC 팀 정의</x:t>
  </x:si>
  <x:si>
    <x:t xml:space="preserve">FGC-FUN-041~044</x:t>
  </x:si>
  <x:si>
    <x:t xml:space="preserve">수수료 유형</x:t>
  </x:si>
  <x:si>
    <x:t xml:space="preserve">환산형·비례형·지사형·혼합형</x:t>
  </x:si>
  <x:si>
    <x:t xml:space="preserve">GA 이익 배분 방식에 따른 수수료 계산 유형 분류</x:t>
  </x:si>
  <x:si>
    <x:t xml:space="preserve">P0 범위 밖 — 상용 확장 시 참조</x:t>
  </x:si>
  <x:si>
    <x:t xml:space="preserve">수수료 지급규정</x:t>
  </x:si>
  <x:si>
    <x:t xml:space="preserve">성과·유지·환수·자동차·일반·일시납·부활·적립금·장기근속 등</x:t>
  </x:si>
  <x:si>
    <x:t xml:space="preserve">최소 단위 수수료 지급규정. 조합으로 지급수수료 유형 구성</x:t>
  </x:si>
  <x:si>
    <x:t xml:space="preserve">특허 KR10-2421271 청구항 핵심 개념</x:t>
  </x:si>
  <x:si>
    <x:t xml:space="preserve">상품비교설명확인서</x:t>
  </x:si>
  <x:si>
    <x:t xml:space="preserve">Comparison Statement</x:t>
  </x:si>
  <x:si>
    <x:t xml:space="preserve">대형 GA가 가입 단계에 동종·유사상품 3개 이상을 비교·설명하고 교부하는 확인서. 2026.7부터 수수료 등급·순위 포함</x:t>
  </x:si>
  <x:si>
    <x:t xml:space="preserve">규정(별표5의6)·보도(SRC-002)</x:t>
  </x:si>
  <x:si>
    <x:t xml:space="preserve">구 제안 "수수료 등급·순위" 기능은 OI-016으로 베이스라인 제외(현 FUN-064는 유지관리·장기유지수수료 검증)</x:t>
  </x:si>
  <x:si>
    <x:t xml:space="preserve">현행 지급 스케줄</x:t>
  </x:si>
  <x:si>
    <x:t xml:space="preserve">Current Payout Schedule</x:t>
  </x:si>
  <x:si>
    <x:t xml:space="preserve">2027년 법정 분급 이전부터 보험사·GA의 수수료율표와 지급규정에 따라 기본수수료·시책 등을 여러 회차에 나누어 계산·지급하던 회사별 계획.</x:t>
  </x:si>
  <x:si>
    <x:t xml:space="preserve">실무·특허</x:t>
  </x:si>
  <x:si>
    <x:t xml:space="preserve">1차 FUN-036. 법정 4년·7년 분급과 구분</x:t>
  </x:si>
  <x:si>
    <x:t xml:space="preserve">월 통합검증 실행</x:t>
  </x:si>
  <x:si>
    <x:t xml:space="preserve">Monthly Regulatory &amp; Reconciliation Run</x:t>
  </x:si>
  <x:si>
    <x:t xml:space="preserve">대상월의 현행 예상스케줄, 지급 건, 실제명세를 바탕으로 계약별 1,200%·복식원장 균형·양방향 대사·차익거래 후보를 검사하고 결과를 잠그는 1차 일괄처리.</x:t>
  </x:si>
  <x:si>
    <x:t xml:space="preserve">멱등성</x:t>
  </x:si>
  <x:si>
    <x:t xml:space="preserve">Idempotency</x:t>
  </x:si>
  <x:si>
    <x:t xml:space="preserve">동일 작업을 재실행해도 결과가 중복되지 않는 성질</x:t>
  </x:si>
  <x:si>
    <x:t xml:space="preserve">팀 표준</x:t>
  </x:si>
  <x:si>
    <x:t xml:space="preserve">FUN-040 · TER-007 · SAR-001</x:t>
  </x:si>
  <x:si>
    <x:t xml:space="preserve">모듈러 모놀리스</x:t>
  </x:si>
  <x:si>
    <x:t xml:space="preserve">Modular Monolith</x:t>
  </x:si>
  <x:si>
    <x:t xml:space="preserve">단일 배포 단위 내부를 모듈 경계로 분리한 아키텍처</x:t>
  </x:si>
  <x:si>
    <x:t xml:space="preserve">COR-006 · QUR-002</x:t>
  </x:si>
  <x:si>
    <x:t xml:space="preserve">유지관리수수료(규제상 한도)</x:t>
  </x:si>
  <x:si>
    <x:t xml:space="preserve">Maintenance Commission</x:t>
  </x:si>
  <x:si>
    <x:t xml:space="preserve">계약 유지 시 분할 지급되는 수수료의 규제상 한도 설명. 4년·7년 체계별 수치와 적용조건은 2차 룰셋 데이터로 관리한다.</x:t>
  </x:si>
  <x:si>
    <x:t xml:space="preserve">규정(REG-03·04)</x:t>
  </x:si>
  <x:si>
    <x:t xml:space="preserve">수치·경과조치는 공식 고시 원문과 버전 연결</x:t>
  </x:si>
  <x:si>
    <x:t xml:space="preserve">장기유지관리수수료</x:t>
  </x:si>
  <x:si>
    <x:t xml:space="preserve">Long-term Maintenance Fee</x:t>
  </x:si>
  <x:si>
    <x:t xml:space="preserve">계약이 5년 이상 유지될 때 매월 계약체결비용의 0.4% 이내로 추가 지급. 최초 지급회차는 법문상 미확정(P1-01)</x:t>
  </x:si>
  <x:si>
    <x:t xml:space="preserve">규정(REG-05)</x:t>
  </x:si>
  <x:si>
    <x:t xml:space="preserve">2029.1 체계</x:t>
  </x:si>
  <x:si>
    <x:t xml:space="preserve">계약체결비용</x:t>
  </x:si>
  <x:si>
    <x:t xml:space="preserve">Contract Acquisition Cost</x:t>
  </x:si>
  <x:si>
    <x:t xml:space="preserve">상품 설계 시 수수료 지급 목적으로 설정된 비용. 선지급·유지관리수수료 한도의 기준금액</x:t>
  </x:si>
  <x:si>
    <x:t xml:space="preserve">규정(REG-02·11)</x:t>
  </x:si>
  <x:si>
    <x:t xml:space="preserve">공통비</x:t>
  </x:si>
  <x:si>
    <x:t xml:space="preserve">Common Expense</x:t>
  </x:si>
  <x:si>
    <x:t xml:space="preserve">모집종사자에게 직·간접 귀속되지만 개별 계약에 직접 특정하기 어려운 모집 관련 고정비·간접비. 감독규정에는 계약체결비용의 19%라는 고정 한도가 직접 규정되어 있지 않으며, 회사는 비용 성격에 맞는 합리적인 관리·안분기준을 마련해야 한다.</x:t>
  </x:si>
  <x:si>
    <x:t xml:space="preserve">규정·FAQ·회사정책(REG-06A~06C)</x:t>
  </x:si>
  <x:si>
    <x:t xml:space="preserve">19%는 금융위 2025-06-02 보도자료(SRC-033, 정책안)와 업계 기사(SRC-013)의 수치이며, 최종 고시 제4-32조⑫3에는 없어 법정 고정값이 아님</x:t>
  </x:si>
  <x:si>
    <x:t xml:space="preserve">준법경영비</x:t>
  </x:si>
  <x:si>
    <x:t xml:space="preserve">Compliance Expense</x:t>
  </x:si>
  <x:si>
    <x:t xml:space="preserve">법인 GA의 비교설명·업무기준 준수와 내부통제 인력 운영을 위해 보험회사가 GA에 지급하는 금액. 월납 기준 초회보험료의 3% 이내에서 보험회사→GA 초년도 수수료 계산 시 제외할 수 있으며, GA→소속 설계사 1,200% 게이지에는 적용하지 않는다.</x:t>
  </x:si>
  <x:si>
    <x:t xml:space="preserve">규정(REG-10)</x:t>
  </x:si>
  <x:si>
    <x:t xml:space="preserve">2027.1.1 시행 (TM·방송 2028.1.1 특례는 해당 없음, SRC-036)</x:t>
  </x:si>
  <x:si>
    <x:t xml:space="preserve">차익거래</x:t>
  </x:si>
  <x:si>
    <x:t xml:space="preserve">Arbitrage Trading</x:t>
  </x:si>
  <x:si>
    <x:t xml:space="preserve">'수수료등 + 조건부 해약환급금 − 환수금 &gt; 실제 납입보험료'를 노린 허위계약·해지 거래. 금지기간이 계약 전기간으로 확대(2026.3)</x:t>
  </x:si>
  <x:si>
    <x:t xml:space="preserve">규정(REG-12)</x:t>
  </x:si>
  <x:si>
    <x:t xml:space="preserve">FGC-FUN-063 · 2026.3 현행 규제</x:t>
  </x:si>
  <x:si>
    <x:t xml:space="preserve">표준해약공제액</x:t>
  </x:si>
  <x:si>
    <x:t xml:space="preserve">Standard Surrender Deduction</x:t>
  </x:si>
  <x:si>
    <x:t xml:space="preserve">해약환급금 산출 시 공제액의 규제 한도. 구법 분급 우대 조건의 기준(REG-15) 현행 1,200%룰(⑤)과 차익거래(⑥)에서 80% 이상 공제 상품을 판정하는 기준이기도 하다(REG-08·12).</x:t>
  </x:si>
  <x:si>
    <x:t xml:space="preserve">규정·세칙</x:t>
  </x:si>
  <x:si>
    <x:t xml:space="preserve">참고 용어</x:t>
  </x:si>
  <x:si>
    <x:t xml:space="preserve">지급 건(보상 라인)</x:t>
  </x:si>
  <x:si>
    <x:t xml:space="preserve">Compensation Line / commission_transaction</x:t>
  </x:si>
  <x:si>
    <x:t xml:space="preserve">특정 계약·설계사에게 특정 항목(수수료·시책 등)으로 얼마를 주기로 한 기록 1줄. 1,200% 합산과 정산의 최소 단위</x:t>
  </x:si>
  <x:si>
    <x:t xml:space="preserve">v2.0 신규 — FUN-065</x:t>
  </x:si>
  <x:si>
    <x:t xml:space="preserve">귀속월</x:t>
  </x:si>
  <x:si>
    <x:t xml:space="preserve">Attribution Month (attribution_month)</x:t>
  </x:si>
  <x:si>
    <x:t xml:space="preserve">지급 건의 귀속일(attribution_date)이 속한 달(YYYY-MM-01, 파생값). 집계·조회용이며 초년도 판정은 귀속일(일 단위)로 한다(OI-019). 정착지원금은 지급월이 아니라 모집월의 신계약에 귀속한다(REG-20, SRC-025 Q7-1).</x:t>
  </x:si>
  <x:si>
    <x:t xml:space="preserve">transaction_attribution.attribution_month</x:t>
  </x:si>
  <x:si>
    <x:t xml:space="preserve">시드 데이터</x:t>
  </x:si>
  <x:si>
    <x:t xml:space="preserve">Seed Data</x:t>
  </x:si>
  <x:si>
    <x:t xml:space="preserve">시스템에 미리 넣어 두는 기초·시연용 데이터. v2.0에서는 원수사 제공 데이터 전체를 시드로 적재</x:t>
  </x:si>
  <x:si>
    <x:t xml:space="preserve">DAR-011 · COR-010</x:t>
  </x:si>
  <x:si>
    <x:t xml:space="preserve">정규화</x:t>
  </x:si>
  <x:si>
    <x:t xml:space="preserve">Normalization</x:t>
  </x:si>
  <x:si>
    <x:t xml:space="preserve">회사마다 다른 형식의 데이터를 우리 표준 구조로 맞추는 것. v2.0에서는 이미 완료된 상태로 전제</x:t>
  </x:si>
  <x:si>
    <x:t xml:space="preserve">배치</x:t>
  </x:si>
  <x:si>
    <x:t xml:space="preserve">Batch</x:t>
  </x:si>
  <x:si>
    <x:t xml:space="preserve">데이터를 모아 한 번에 처리하는 방식. 1차부터 Spring Batch(Job 2개)로 실행하며 월 검증은 사용자가 화면에서 시작한다. 2차는 Job 5개와 자동 스케줄링으로 확장한다</x:t>
  </x:si>
  <x:si>
    <x:t xml:space="preserve">FUN-041 · FUN-045 · SRC-027 D-02</x:t>
  </x:si>
  <x:si>
    <x:t xml:space="preserve">FGC 요구사항 코드·상태 정의</x:t>
  </x:si>
  <x:si>
    <x:t xml:space="preserve">의미</x:t>
  </x:si>
  <x:si>
    <x:t xml:space="preserve">사용 원칙</x:t>
  </x:si>
  <x:si>
    <x:t xml:space="preserve">요구사항 접두어</x:t>
  </x:si>
  <x:si>
    <x:t xml:space="preserve">분류</x:t>
  </x:si>
  <x:si>
    <x:t xml:space="preserve">2026-08-24 발표(개발 마감 08-23) — 현행 예상스케줄·1200%·복식원장·대사·차익거래 검증</x:t>
  </x:si>
  <x:si>
    <x:t xml:space="preserve">현재 규정 검증 핵심 M 기능</x:t>
  </x:si>
  <x:si>
    <x:t xml:space="preserve">FGC-FUN-###</x:t>
  </x:si>
  <x:si>
    <x:t xml:space="preserve">2026-11-16 발표(코드 동결 11-06) — 4년·7년 법정 분급·계약체결비용·유지관리 검증</x:t>
  </x:si>
  <x:si>
    <x:t xml:space="preserve">1차 엔진 재사용 + JPA/React/Batch 고도화</x:t>
  </x:si>
  <x:si>
    <x:t xml:space="preserve">FGC-PER-###</x:t>
  </x:si>
  <x:si>
    <x:t xml:space="preserve">전 기간 적용</x:t>
  </x:si>
  <x:si>
    <x:t xml:space="preserve">관리·품질·보안·표준</x:t>
  </x:si>
  <x:si>
    <x:t xml:space="preserve">FGC-SIR-###</x:t>
  </x:si>
  <x:si>
    <x:t xml:space="preserve">FGC-DAR-###</x:t>
  </x:si>
  <x:si>
    <x:t xml:space="preserve">일정 위험 시 PM 승인으로 조정</x:t>
  </x:si>
  <x:si>
    <x:t xml:space="preserve">FGC-ECR-###</x:t>
  </x:si>
  <x:si>
    <x:t xml:space="preserve">FGC-TER-###</x:t>
  </x:si>
  <x:si>
    <x:t xml:space="preserve">FGC-SER-###</x:t>
  </x:si>
  <x:si>
    <x:t xml:space="preserve">High</x:t>
  </x:si>
  <x:si>
    <x:t xml:space="preserve">다중 모듈·도메인 규칙·정합성</x:t>
  </x:si>
  <x:si>
    <x:t xml:space="preserve">FGC-QUR-###</x:t>
  </x:si>
  <x:si>
    <x:t xml:space="preserve">Medium</x:t>
  </x:si>
  <x:si>
    <x:t xml:space="preserve">일반 CRUD·워크플로·연계</x:t>
  </x:si>
  <x:si>
    <x:t xml:space="preserve">FGC-COR-###</x:t>
  </x:si>
  <x:si>
    <x:t xml:space="preserve">Low</x:t>
  </x:si>
  <x:si>
    <x:t xml:space="preserve">단순 조회·표시·설정</x:t>
  </x:si>
  <x:si>
    <x:t xml:space="preserve">FGC-SAR-###</x:t>
  </x:si>
  <x:si>
    <x:t xml:space="preserve">작성 완료·미승인</x:t>
  </x:si>
  <x:si>
    <x:t xml:space="preserve">검토 필요</x:t>
  </x:si>
  <x:si>
    <x:t xml:space="preserve">FGC-PMR-###</x:t>
  </x:si>
  <x:si>
    <x:t xml:space="preserve">질문·영향분석 중</x:t>
  </x:si>
  <x:si>
    <x:t xml:space="preserve">결정 필요</x:t>
  </x:si>
  <x:si>
    <x:t xml:space="preserve">FGC-PSR-###</x:t>
  </x:si>
  <x:si>
    <x:t xml:space="preserve">베이스라인 확정</x:t>
  </x:si>
  <x:si>
    <x:t xml:space="preserve">변경요청으로 수정</x:t>
  </x:si>
  <x:si>
    <x:t xml:space="preserve">개발 진행</x:t>
  </x:si>
  <x:si>
    <x:t xml:space="preserve">PR 연결</x:t>
  </x:si>
  <x:si>
    <x:t xml:space="preserve">구현완료</x:t>
  </x:si>
  <x:si>
    <x:t xml:space="preserve">코드 병합</x:t>
  </x:si>
  <x:si>
    <x:t xml:space="preserve">테스트 필요</x:t>
  </x:si>
  <x:si>
    <x:t xml:space="preserve">테스트완료</x:t>
  </x:si>
  <x:si>
    <x:t xml:space="preserve">검증 통과</x:t>
  </x:si>
  <x:si>
    <x:t xml:space="preserve">인수 필요</x:t>
  </x:si>
  <x:si>
    <x:t xml:space="preserve">인수완료</x:t>
  </x:si>
  <x:si>
    <x:t xml:space="preserve">완료 인정</x:t>
  </x:si>
  <x:si>
    <x:t xml:space="preserve">증적 보관</x:t>
  </x:si>
  <x:si>
    <x:t xml:space="preserve">보류</x:t>
  </x:si>
  <x:si>
    <x:t xml:space="preserve">범위·의존성으로 정지</x:t>
  </x:si>
  <x:si>
    <x:t xml:space="preserve">사유·재검토일 기록</x:t>
  </x:si>
  <x:si>
    <x:t xml:space="preserve">근거ID</x:t>
  </x:si>
  <x:si>
    <x:t xml:space="preserve">자료명</x:t>
  </x:si>
  <x:si>
    <x:t xml:space="preserve">발행기관/작성자</x:t>
  </x:si>
  <x:si>
    <x:t xml:space="preserve">기준일</x:t>
  </x:si>
  <x:si>
    <x:t xml:space="preserve">URL/파일</x:t>
  </x:si>
  <x:si>
    <x:t xml:space="preserve">적용 범위</x:t>
  </x:si>
  <x:si>
    <x:t xml:space="preserve">SRC-001</x:t>
  </x:si>
  <x:si>
    <x:t xml:space="preserve">공식 보도자료</x:t>
  </x:si>
  <x:si>
    <x:t xml:space="preserve">보험 판매수수료를 분급체계로 개편하여 소비자가 장기간, 세심한 보험 유지관리 서비스를 받을 수 있도록 하겠습니다.</x:t>
  </x:si>
  <x:si>
    <x:t xml:space="preserve">금융위원회</x:t>
  </x:si>
  <x:si>
    <x:t xml:space="preserve">2026-01-14</x:t>
  </x:si>
  <x:si>
    <x:t xml:space="preserve">20_추출텍스트/규제에_관한_docs/보험_판매수수료_보도자료_MD_2종/2026-01-14_보험_판매수수료_분급체계_개편.md</x:t>
  </x:si>
  <x:si>
    <x:t xml:space="preserve">1,200%룰 GA 확대, 분급, 유지관리수수료, 순차 시행</x:t>
  </x:si>
  <x:si>
    <x:t xml:space="preserve">공식 URL: https://www.fsc.go.kr/no010101/86050</x:t>
  </x:si>
  <x:si>
    <x:t xml:space="preserve">SRC-002</x:t>
  </x:si>
  <x:si>
    <x:t xml:space="preserve">보험업권의 과도한 판매수수료 경쟁 방지 및 소비자 알권리 제도개선 사항 7.1 시행</x:t>
  </x:si>
  <x:si>
    <x:t xml:space="preserve">2026-06-30</x:t>
  </x:si>
  <x:si>
    <x:t xml:space="preserve">20_추출텍스트/규제에_관한_docs/보험_판매수수료_보도자료_MD_2종/2026-06-30_보험_판매수수료_제도개선_7월1일_시행.md</x:t>
  </x:si>
  <x:si>
    <x:t xml:space="preserve">2026-07-01 GA 1,200%룰 시행, 대형 GA 비교설명, 수수료 5단계</x:t>
  </x:si>
  <x:si>
    <x:t xml:space="preserve">공식 URL: https://www.fsc.go.kr/no010101/87217</x:t>
  </x:si>
  <x:si>
    <x:t xml:space="preserve">SRC-003</x:t>
  </x:si>
  <x:si>
    <x:t xml:space="preserve">공식 고시</x:t>
  </x:si>
  <x:si>
    <x:t xml:space="preserve">보험업감독규정 일부개정고시(금융위원회 고시 제2026-3호)</x:t>
  </x:si>
  <x:si>
    <x:t xml:space="preserve">20_추출텍스트/규제에_관한_docs/GA_FAQ_고시내용/보험업감독규정 일부개정고시.md</x:t>
  </x:si>
  <x:si>
    <x:t xml:space="preserve">개정 조문, 부칙, 적용례, 시행일</x:t>
  </x:si>
  <x:si>
    <x:t xml:space="preserve">공식 URL: https://www.fsc.go.kr/po040200/86189</x:t>
  </x:si>
  <x:si>
    <x:t xml:space="preserve">SRC-004</x:t>
  </x:si>
  <x:si>
    <x:t xml:space="preserve">프로젝트 기획</x:t>
  </x:si>
  <x:si>
    <x:t xml:space="preserve">CommissionFlow 팀온보딩 최종확정</x:t>
  </x:si>
  <x:si>
    <x:t xml:space="preserve">수수깡 PM</x:t>
  </x:si>
  <x:si>
    <x:t xml:space="preserve">2026-07-14</x:t>
  </x:si>
  <x:si>
    <x:t xml:space="preserve">20_추출텍스트/AI참고자료/CommissionFlow(구명칭)_요구사항명세서_재작성용_통합_AI컨텍스트.md</x:t>
  </x:si>
  <x:si>
    <x:t xml:space="preserve">보험 도메인, 원장·환수·유지율, 데모, 용어사전</x:t>
  </x:si>
  <x:si>
    <x:t xml:space="preserve">통합본의 원본 표기는 CommissionFlow_팀온보딩_최종확정(4).md</x:t>
  </x:si>
  <x:si>
    <x:t xml:space="preserve">CommissionFlow 팀프로젝트 최종주제설명서</x:t>
  </x:si>
  <x:si>
    <x:t xml:space="preserve">제품 정의, 문제, 기능, 단계별 범위, 아키텍처, 품질, 사업성</x:t>
  </x:si>
  <x:si>
    <x:t xml:space="preserve">통합본의 원본 표기는 CommissionFlow_팀프로젝트_최종주제설명서(4).md</x:t>
  </x:si>
  <x:si>
    <x:t xml:space="preserve">RFP/요구사항 예시</x:t>
  </x:si>
  <x:si>
    <x:t xml:space="preserve">ERP 신규 도입 제안요청서 및 02_요구사항정의서_v2.0.xlsx</x:t>
  </x:si>
  <x:si>
    <x:t xml:space="preserve">화재보험협회/예시 문서</x:t>
  </x:si>
  <x:si>
    <x:t xml:space="preserve">2026</x:t>
  </x:si>
  <x:si>
    <x:t xml:space="preserve">근거 없음 — 확인 필요</x:t>
  </x:si>
  <x:si>
    <x:t xml:space="preserve">요구사항 분류, 검증기준, 산출물, 프로젝트관리</x:t>
  </x:si>
  <x:si>
    <x:t xml:space="preserve">20_추출텍스트에 원본 또는 식별 가능한 추출본 없음</x:t>
  </x:si>
  <x:si>
    <x:t xml:space="preserve">SRC-007</x:t>
  </x:si>
  <x:si>
    <x:t xml:space="preserve">업계 이슈</x:t>
  </x:si>
  <x:si>
    <x:t xml:space="preserve">GA 차익거래 금지규정 안착 차질 및 관련 기사 모음</x:t>
  </x:si>
  <x:si>
    <x:t xml:space="preserve">보험 전문매체</x:t>
  </x:si>
  <x:si>
    <x:t xml:space="preserve">20_추출텍스트/AI참고자료/보험판매수수료_제도개편_공식근거_실무쟁점_통합_AI분석팩.md</x:t>
  </x:si>
  <x:si>
    <x:t xml:space="preserve">상품코드·명세 데이터 매칭, 전산 준비 어려움</x:t>
  </x:si>
  <x:si>
    <x:t xml:space="preserve">2차 자료. 개별 기사 URL·발행일은 분석팩의 출처 레지스트리로 재확인</x:t>
  </x:si>
  <x:si>
    <x:t xml:space="preserve">SRC-008</x:t>
  </x:si>
  <x:si>
    <x:t xml:space="preserve">NCS</x:t>
  </x:si>
  <x:si>
    <x:t xml:space="preserve">NCS 보험</x:t>
  </x:si>
  <x:si>
    <x:t xml:space="preserve">국가직무능력표준 목록 정리</x:t>
  </x:si>
  <x:si>
    <x:t xml:space="preserve">보험모집, 판매 후 사후관리, 지급금 기준·관리, 위험관리·정보보호</x:t>
  </x:si>
  <x:si>
    <x:t xml:space="preserve">20_추출텍스트에 NCS_보험.md 없음</x:t>
  </x:si>
  <x:si>
    <x:t xml:space="preserve">SRC-009</x:t>
  </x:si>
  <x:si>
    <x:t xml:space="preserve">전산 개편·실무 적용 및 GA업계 시행 대응 자료</x:t>
  </x:si>
  <x:si>
    <x:t xml:space="preserve">20_추출텍스트/AI참고자료/보험판매수수료_제도개편_추가자료_통합_AI분석팩.md</x:t>
  </x:si>
  <x:si>
    <x:t xml:space="preserve">전산 개편, 세부 가이드 부족, 데이터 표준화 문제</x:t>
  </x:si>
  <x:si>
    <x:t xml:space="preserve">SRC-010</x:t>
  </x:si>
  <x:si>
    <x:t xml:space="preserve">특허</x:t>
  </x:si>
  <x:si>
    <x:t xml:space="preserve">등록특허 KR10-2421271B1 보험대리점 수수료 시스템 및 방법</x:t>
  </x:si>
  <x:si>
    <x:t xml:space="preserve">지넥슨(출원)</x:t>
  </x:si>
  <x:si>
    <x:t xml:space="preserve">2022-07</x:t>
  </x:si>
  <x:si>
    <x:t xml:space="preserve">20_추출텍스트/원수사_GA_data_예시/지넥슨_특허_실데이터/지넥슨_보험대리점_수수료시스템_특허.md</x:t>
  </x:si>
  <x:si>
    <x:t xml:space="preserve">정형데이터 업로드→검증→매핑 청구항 — 대사 기능 인접 검토</x:t>
  </x:si>
  <x:si>
    <x:t xml:space="preserve">특허 청구항과 프로젝트 기능을 동일시하지 않음</x:t>
  </x:si>
  <x:si>
    <x:t xml:space="preserve">SRC-011</x:t>
  </x:si>
  <x:si>
    <x:t xml:space="preserve">경쟁·벤치마킹</x:t>
  </x:si>
  <x:si>
    <x:t xml:space="preserve">지넥슨 회사소개서(ANYBIZ GA-ERP·GIST)</x:t>
  </x:si>
  <x:si>
    <x:t xml:space="preserve">지넥슨</x:t>
  </x:si>
  <x:si>
    <x:t xml:space="preserve">2024</x:t>
  </x:si>
  <x:si>
    <x:t xml:space="preserve">경쟁 현황, Any CMS 수수료 기능군, As-Is 근거</x:t>
  </x:si>
  <x:si>
    <x:t xml:space="preserve">ADR에 파생 인용은 있으나 20_추출텍스트에 회사소개서 원문·추출본 없음</x:t>
  </x:si>
  <x:si>
    <x:t xml:space="preserve">SRC-012</x:t>
  </x:si>
  <x:si>
    <x:t xml:space="preserve">업계 분석</x:t>
  </x:si>
  <x:si>
    <x:t xml:space="preserve">수수료 분급 핵심규정 제4-32조 항별 분석(규정변경예고)</x:t>
  </x:si>
  <x:si>
    <x:t xml:space="preserve">보험저널</x:t>
  </x:si>
  <x:si>
    <x:t xml:space="preserve">2025-08-13</x:t>
  </x:si>
  <x:si>
    <x:t xml:space="preserve">https://www.insjournal.co.kr/news/articleView.html?idxno=27550</x:t>
  </x:si>
  <x:si>
    <x:t xml:space="preserve">예고안 조문 항번과 요율 세부</x:t>
  </x:si>
  <x:si>
    <x:t xml:space="preserve">확정 고시·현행 규정과 충돌 시 SRC-003·022 우선</x:t>
  </x:si>
  <x:si>
    <x:t xml:space="preserve">SRC-013</x:t>
  </x:si>
  <x:si>
    <x:t xml:space="preserve">판매수수료 체계 개편 — GA 관련 제도 정리</x:t>
  </x:si>
  <x:si>
    <x:t xml:space="preserve">2026-01-15</x:t>
  </x:si>
  <x:si>
    <x:t xml:space="preserve">https://www.insjournal.co.kr/news/articleView.html?idxno=29756</x:t>
  </x:si>
  <x:si>
    <x:t xml:space="preserve">월 0.8%/1.5%·장기 0.4%·공통비 19%·준법경영비 3% 수치</x:t>
  </x:si>
  <x:si>
    <x:t xml:space="preserve">공통비 19%는 법정 고정수치로 사용하지 않음. 19% 수치의 공식 출처는 금융위 2025-06-02 보도자료(SRC-033, 정책안)이며 최종 고시 제4-32조⑫3에는 수치 없음</x:t>
  </x:si>
  <x:si>
    <x:t xml:space="preserve">SRC-014</x:t>
  </x:si>
  <x:si>
    <x:t xml:space="preserve">내부 도메인 노트</x:t>
  </x:si>
  <x:si>
    <x:t xml:space="preserve">FGC 규제 근거·조문표 v0.2.1(REG-01~24)</x:t>
  </x:si>
  <x:si>
    <x:t xml:space="preserve">예소</x:t>
  </x:si>
  <x:si>
    <x:t xml:space="preserve">2026-08-05</x:t>
  </x:si>
  <x:si>
    <x:t xml:space="preserve">30_산출물/07_규제조문표_v0.2.1.md</x:t>
  </x:si>
  <x:si>
    <x:t xml:space="preserve">분급·1,200%·차익거래·환수·공통비·공시·상품위원회·FAQ 근거 통합</x:t>
  </x:si>
  <x:si>
    <x:t xml:space="preserve">2026-08-05 정합성 교정 및 SRC-022·023 현행 통합본 대조 완료</x:t>
  </x:si>
  <x:si>
    <x:t xml:space="preserve">SRC-015</x:t>
  </x:si>
  <x:si>
    <x:t xml:space="preserve">GA설계사 1,200%룰 기사·FAQ 초안 분석</x:t>
  </x:si>
  <x:si>
    <x:t xml:space="preserve">보험저널/프로젝트 통합</x:t>
  </x:si>
  <x:si>
    <x:t xml:space="preserve">2026-07</x:t>
  </x:si>
  <x:si>
    <x:t xml:space="preserve">20_추출텍스트/AI참고자료/혼선의_GA설계사_1200%룰_통합_AI분석팩.md</x:t>
  </x:si>
  <x:si>
    <x:t xml:space="preserve">산입·제외 기준, 일시 초과 판단, 비용관리기준 후보</x:t>
  </x:si>
  <x:si>
    <x:t xml:space="preserve">2차 자료. 규제 판단은 SRC-022·024·025 우선</x:t>
  </x:si>
  <x:si>
    <x:t xml:space="preserve">SRC-016</x:t>
  </x:si>
  <x:si>
    <x:t xml:space="preserve">보험저널 연재: 혼선의 GA설계사 1,200%룰 및 4년 분급 사전대응</x:t>
  </x:si>
  <x:si>
    <x:t xml:space="preserve">20_추출텍스트/AI참고자료/혼선의_GA설계사_1200%룰_통합_AI분석팩.md; 20_추출텍스트/AI참고자료/GA_설계사_4년_분급_사전대응_통합_AI분석팩.md</x:t>
  </x:si>
  <x:si>
    <x:t xml:space="preserve">계약별 판단, 공통비 안분, 분급 예시, 환수 재설계</x:t>
  </x:si>
  <x:si>
    <x:t xml:space="preserve">기사 수치·예시는 법정 파라미터로 승격하지 않음</x:t>
  </x:si>
  <x:si>
    <x:t xml:space="preserve">SRC-017</x:t>
  </x:si>
  <x:si>
    <x:t xml:space="preserve">연구보고서</x:t>
  </x:si>
  <x:si>
    <x:t xml:space="preserve">KIRI 연구보고서 2023-16 보험 모집수수료에 관한 연구 — 회차별 미유지 환수율 실태</x:t>
  </x:si>
  <x:si>
    <x:t xml:space="preserve">보험연구원</x:t>
  </x:si>
  <x:si>
    <x:t xml:space="preserve">2023</x:t>
  </x:si>
  <x:si>
    <x:t xml:space="preserve">20_추출텍스트/원수사_GA_data_예시/KIRI_수수료_운영_실태_AI참고용_구조화본.md</x:t>
  </x:si>
  <x:si>
    <x:t xml:space="preserve">환수 파라미터 데모 시드</x:t>
  </x:si>
  <x:si>
    <x:t xml:space="preserve">2022.6 기준 통계이므로 현행 회사별 환수율로 사용하지 않음</x:t>
  </x:si>
  <x:si>
    <x:t xml:space="preserve">SRC-018</x:t>
  </x:si>
  <x:si>
    <x:t xml:space="preserve">보험사 제공 원천 데이터 정의(8종)·GA사 내부 정보·정책 정의(30종)</x:t>
  </x:si>
  <x:si>
    <x:t xml:space="preserve">명세 스키마, 대사 허용오차, 정산 마감, 환수·상계 정책 후보</x:t>
  </x:si>
  <x:si>
    <x:t xml:space="preserve">20_추출텍스트에 명시된 두 원본 파일 없음</x:t>
  </x:si>
  <x:si>
    <x:t xml:space="preserve">SRC-019</x:t>
  </x:si>
  <x:si>
    <x:t xml:space="preserve">실무 규정</x:t>
  </x:si>
  <x:si>
    <x:t xml:space="preserve">프라임에셋 2026 영업규정집 구조화본</x:t>
  </x:si>
  <x:si>
    <x:t xml:space="preserve">프라임에셋(주)</x:t>
  </x:si>
  <x:si>
    <x:t xml:space="preserve">2026-01-01</x:t>
  </x:si>
  <x:si>
    <x:t xml:space="preserve">20_추출텍스트/원수사_GA_data_예시/2026년_프라임에셋_영업규정집_AI참고용_구조화본.md</x:t>
  </x:si>
  <x:si>
    <x:t xml:space="preserve">직급·지급률·선지급·환수·위촉·해촉·위험적립금</x:t>
  </x:si>
  <x:si>
    <x:t xml:space="preserve">사적 기준. 다른 GA나 법정 기준으로 일반화하지 않음</x:t>
  </x:si>
  <x:si>
    <x:t xml:space="preserve">SRC-020</x:t>
  </x:si>
  <x:si>
    <x:t xml:space="preserve">실무 자료</x:t>
  </x:si>
  <x:si>
    <x:t xml:space="preserve">더블유에셋 2507 보험사별 지급방식·회차별 환수율 표</x:t>
  </x:si>
  <x:si>
    <x:t xml:space="preserve">더블유에셋</x:t>
  </x:si>
  <x:si>
    <x:t xml:space="preserve">2025-07</x:t>
  </x:si>
  <x:si>
    <x:t xml:space="preserve">20_추출텍스트/원수사_GA_data_예시/더블유에셋_2507_환수율표+지급방식표/더블유에셋_2507보험사별_지급방식_MD변환본.md; 20_추출텍스트/원수사_GA_data_예시/더블유에셋_2507_환수율표+지급방식표/더블유에셋_2507환수율_MD변환본.md</x:t>
  </x:si>
  <x:si>
    <x:t xml:space="preserve">수수료 항목×회차 구간별 지급·환수 패턴</x:t>
  </x:si>
  <x:si>
    <x:t xml:space="preserve">사적 기준·시점 고정 자료</x:t>
  </x:si>
  <x:si>
    <x:t xml:space="preserve">SRC-021</x:t>
  </x:si>
  <x:si>
    <x:t xml:space="preserve">실물 증빙(비식별)</x:t>
  </x:si>
  <x:si>
    <x:t xml:space="preserve">수수료·시책 환수 내역서, 환수 채무 내용증명, 사업소득 원천징수영수증</x:t>
  </x:si>
  <x:si>
    <x:t xml:space="preserve">첨부 실무 양식(비식별본)</x:t>
  </x:si>
  <x:si>
    <x:t xml:space="preserve">2025~2026</x:t>
  </x:si>
  <x:si>
    <x:t xml:space="preserve">데모 시드·화면 구조 후보</x:t>
  </x:si>
  <x:si>
    <x:t xml:space="preserve">20_추출텍스트에 식별 가능한 비식별 추출본 없음</x:t>
  </x:si>
  <x:si>
    <x:t xml:space="preserve">SRC-022</x:t>
  </x:si>
  <x:si>
    <x:t xml:space="preserve">현행 공식 규정</x:t>
  </x:si>
  <x:si>
    <x:t xml:space="preserve">보험업감독규정 [시행 2026.5.6] [금융위원회고시 제2026-16호]</x:t>
  </x:si>
  <x:si>
    <x:t xml:space="preserve">2026-05-06</x:t>
  </x:si>
  <x:si>
    <x:t xml:space="preserve">20_추출텍스트/규제에_관한_docs/현행_공식원문/SRC-022_보험업감독규정_현행공식통합본_2026-05-06.md</x:t>
  </x:si>
  <x:si>
    <x:t xml:space="preserve">제4-11조·제4-32조·제7-46조·제7-72조의2 등 현행 조문</x:t>
  </x:si>
  <x:si>
    <x:t xml:space="preserve">2026-08-05 국가법령정보센터 현행 본문·부칙·별표/서식 목록 통합. 공식 URL: https://www.law.go.kr/LSW/admRulInfoP.do?admRulSeq=2100000279112</x:t>
  </x:si>
  <x:si>
    <x:t xml:space="preserve">SRC-023</x:t>
  </x:si>
  <x:si>
    <x:t xml:space="preserve">현행 공식 시행세칙</x:t>
  </x:si>
  <x:si>
    <x:t xml:space="preserve">보험업감독업무시행세칙 [시행 2026.7.15] [2026.7.13 일부개정]</x:t>
  </x:si>
  <x:si>
    <x:t xml:space="preserve">금융감독원</x:t>
  </x:si>
  <x:si>
    <x:t xml:space="preserve">2026-07-15</x:t>
  </x:si>
  <x:si>
    <x:t xml:space="preserve">20_추출텍스트/규제에_관한_docs/현행_공식원문/SRC-023_보험업감독업무시행세칙_현행공식통합본_2026-07-15.md</x:t>
  </x:si>
  <x:si>
    <x:t xml:space="preserve">제5-11조의2·제5-19조의2·별표 1의1·별표 36 등</x:t>
  </x:si>
  <x:si>
    <x:t xml:space="preserve">2026-08-05 국가법령정보센터 현행 본문·부칙·별표/서식 목록과 별표 1의1·36 전문 통합. 공식 URL: https://www.law.go.kr/LSW/admRulLsInfoP.do?admRulSeq=2200000108867. 2026-10-11 확인: 2026-08-28 개정·2026-09-10 시행 새 판이 있음 — 변경 내용(별표 1의1·36 포함) 미대조, 근거 없음 확인 필요</x:t>
  </x:si>
  <x:si>
    <x:t xml:space="preserve">SRC-024</x:t>
  </x:si>
  <x:si>
    <x:t xml:space="preserve">공식 FAQ 배포안</x:t>
  </x:si>
  <x:si>
    <x:t xml:space="preserve">2026년 수수료 체계 개편 관련 FAQ 1차 배포안</x:t>
  </x:si>
  <x:si>
    <x:t xml:space="preserve">금융위원회·금융감독원</x:t>
  </x:si>
  <x:si>
    <x:t xml:space="preserve">2026-03</x:t>
  </x:si>
  <x:si>
    <x:t xml:space="preserve">20_추출텍스트/규제에_관한_docs/GA_FAQ_고시내용/(1차_배포)_2026년_수수료_체계_개편_관련_FAQ.md</x:t>
  </x:si>
  <x:si>
    <x:t xml:space="preserve">수수료 범위, 대표가입속성, 차익거래, 예상 해약환급률표, 공시</x:t>
  </x:si>
  <x:si>
    <x:t xml:space="preserve">배포안. 최종 FAQ 공문 확인 시 갱신</x:t>
  </x:si>
  <x:si>
    <x:t xml:space="preserve">SRC-025</x:t>
  </x:si>
  <x:si>
    <x:t xml:space="preserve">2026년 수수료 체계 개편 관련 FAQ 2차 배포안</x:t>
  </x:si>
  <x:si>
    <x:t xml:space="preserve">2026-06</x:t>
  </x:si>
  <x:si>
    <x:t xml:space="preserve">20_추출텍스트/규제에_관한_docs/GA_FAQ_고시내용/(2차_배포)_2026년_수수료_체계_개편_관련_FAQ.md</x:t>
  </x:si>
  <x:si>
    <x:t xml:space="preserve">1,200%룰, 신인·경력 지원, 차익거래, 해약환급률표, 대형 GA 비교설명</x:t>
  </x:si>
  <x:si>
    <x:t xml:space="preserve">변경·신설 사항 발췌본. 최종 FAQ 공문 확인 시 갱신</x:t>
  </x:si>
  <x:si>
    <x:t xml:space="preserve">SRC-026</x:t>
  </x:si>
  <x:si>
    <x:t xml:space="preserve">공식 시행세칙 개정자료</x:t>
  </x:si>
  <x:si>
    <x:t xml:space="preserve">보험업감독업무시행세칙 일부 개정안 신구조문 대비표</x:t>
  </x:si>
  <x:si>
    <x:t xml:space="preserve">2026-03-04</x:t>
  </x:si>
  <x:si>
    <x:t xml:space="preserve">20_추출텍스트/규제에_관한_docs/GA_FAQ_고시내용/_LAW1_99999999999999999999_20260304_보험업감독업무시행세칙 일부 개정안 신구조문 대비표_31792560357553089.md</x:t>
  </x:si>
  <x:si>
    <x:t xml:space="preserve">판매수수료 비교공시 산식과 상품위원회 세부절차</x:t>
  </x:si>
  <x:si>
    <x:t xml:space="preserve">파일명 기준일 2026-03-04, 시행일 문언 2026-03-01. 현행 통합본은 SRC-023 우선</x:t>
  </x:si>
  <x:si>
    <x:t xml:space="preserve">SRC-027</x:t>
  </x:si>
  <x:si>
    <x:t xml:space="preserve">프로젝트 설계결정</x:t>
  </x:si>
  <x:si>
    <x:t xml:space="preserve">FGC 정합성 설계결정서</x:t>
  </x:si>
  <x:si>
    <x:t xml:space="preserve">FGC 프로젝트</x:t>
  </x:si>
  <x:si>
    <x:t xml:space="preserve">20_추출텍스트/아키텍처_의사결정_기록_ADR/SRC-027_FGC_정합성_설계결정서_2026-08-05.md</x:t>
  </x:si>
  <x:si>
    <x:t xml:space="preserve">계약체결비용 사용률 4개 확정, validation_run FINALIZED, 1차 Spring Batch, 물리 선반영과 기능 제공의 분리, 후속 마이그레이션 덧붙임 원칙, 계약자 개인정보 미저장</x:t>
  </x:si>
  <x:si>
    <x:t xml:space="preserve">정합성감사 2026-08-05의 P1-02·03·04 결정 기록 및 D-05 신규. SRC-006 누락으로 D-02·D-03·D-05의 근거원은 이 문서 자신임. P1-01은 미결정 유지</x:t>
  </x:si>
  <x:si>
    <x:t xml:space="preserve">SRC-028</x:t>
  </x:si>
  <x:si>
    <x:t xml:space="preserve">기술표준</x:t>
  </x:si>
  <x:si>
    <x:t xml:space="preserve">웹·개발 기술표준 (MDN Web Docs · W3C/WHATWG 명세 · OWASP Cheat Sheet Series)</x:t>
  </x:si>
  <x:si>
    <x:t xml:space="preserve">Mozilla·W3C·WHATWG·OWASP</x:t>
  </x:si>
  <x:si>
    <x:t xml:space="preserve">2026-08-06</x:t>
  </x:si>
  <x:si>
    <x:t xml:space="preserve">온라인만 — 로컬 추출본 없음. https://developer.mozilla.org , https://www.w3.org/TR/ , https://cheatsheetseries.owasp.org/</x:t>
  </x:si>
  <x:si>
    <x:t xml:space="preserve">deprecated CSS/JS API 교체, 접근성 마크업, 보안 헤더·CSRF 등 구현 기술 판단</x:t>
  </x:si>
  <x:si>
    <x:t xml:space="preserve">상시 갱신되는 온라인 문서. 인용 시 확인일과 대상 페이지를 함께 적는다. 업무·규제 판단에는 쓰지 않으며 규제와 충돌하면 SRC-022·023 우선</x:t>
  </x:si>
  <x:si>
    <x:t xml:space="preserve">SRC-029</x:t>
  </x:si>
  <x:si>
    <x:t xml:space="preserve">2차 자료(언론)</x:t>
  </x:si>
  <x:si>
    <x:t xml:space="preserve">금융당국 1200%룰 추가 안내 — 정착지원금·대여금·교육비·해약환급금 합산 기준 구체화</x:t>
  </x:si>
  <x:si>
    <x:t xml:space="preserve">20_추출텍스트/추가/금융당국_1200%룰_추가_안내.md</x:t>
  </x:si>
  <x:si>
    <x:t xml:space="preserve">정착지원금 이연지급 산입, 잔여수수료 담보 대여금, 실적연동 교육비, 해약환급금 합산 3년 기준</x:t>
  </x:si>
  <x:si>
    <x:t xml:space="preserve">2차 자료. 원천은 금융당국 보험 판매수수료 제도 안착 TF의 2026-08-07 추가 가이드라인이나 공문 원문 미확보 — 근거 없음 확인 필요. 제3차 FAQ 반영 예정. 단독으로 확정 판정기준·수치를 만들지 않는다</x:t>
  </x:si>
  <x:si>
    <x:t xml:space="preserve">SRC-030</x:t>
  </x:si>
  <x:si>
    <x:t xml:space="preserve">1200%룰 위반 시 제재 수위 — GA 최대 영업 일부정지·임원 해임권고</x:t>
  </x:si>
  <x:si>
    <x:t xml:space="preserve">2026-08-11</x:t>
  </x:si>
  <x:si>
    <x:t xml:space="preserve">20_추출텍스트/추가/1200%룰_어기면_어떤_제재_받나.md</x:t>
  </x:si>
  <x:si>
    <x:t xml:space="preserve">보험업법상 감독제재 수위, 모집 금지행위 과태료, 내부통제 필요성</x:t>
  </x:si>
  <x:si>
    <x:t xml:space="preserve">2차 자료. 보험업법 본문 추출본이 vault에 없어 조문 대조 불가 — 근거 없음 확인 필요. 시스템 동작을 정하는 근거로 쓰지 않고 감사로그·내부통제 요구의 배경 설명으로만 사용</x:t>
  </x:si>
  <x:si>
    <x:t xml:space="preserve">SRC-031</x:t>
  </x:si>
  <x:si>
    <x:t xml:space="preserve">평준화 예상 빗나간 GA 시책 — 1200%룰 이후 2차년도 시책 경쟁 강화</x:t>
  </x:si>
  <x:si>
    <x:t xml:space="preserve">20_추출텍스트/추가/평준화_예상_빗나간_GA_시책.md</x:t>
  </x:si>
  <x:si>
    <x:t xml:space="preserve">2차년도 시책의 1,200% 한도 밖 처리, 계약체결비용 한도 2027-01 적용의 시장 영향</x:t>
  </x:si>
  <x:si>
    <x:t xml:space="preserve">2차 자료·시장동향. 규제 내용은 REG-01~05·19와 운영정책서 제22조에 이미 반영됨. 신규 조문 불필요. 시드데이터 현실성 참고용</x:t>
  </x:si>
  <x:si>
    <x:t xml:space="preserve">SRC-032</x:t>
  </x:si>
  <x:si>
    <x:t xml:space="preserve">FGC 예외 업무건·검출이력 분리 설계결정서</x:t>
  </x:si>
  <x:si>
    <x:t xml:space="preserve">2026-08-18</x:t>
  </x:si>
  <x:si>
    <x:t xml:space="preserve">20_추출텍스트/아키텍처_의사결정_기록_ADR/SRC-032_FGC_예외업무건_검출이력_분리_설계결정서_2026-08-18.md</x:t>
  </x:si>
  <x:si>
    <x:t xml:space="preserve">FUN-052·053 실행 간 중복 범위, 안정 업무키, 검출 이력, 13종 상위 유형과 상세 원인 분리</x:t>
  </x:si>
  <x:si>
    <x:t xml:space="preserve">사용자 승인 결정. 같은 검증월·동일 문제는 업무건 1건으로 유지하고 실행별 검출은 occurrence로 보존. CAP_RULE_MISMATCH는 CAP_REVIEW_REQUIRED의 reason_code로 분류</x:t>
  </x:si>
  <x:si>
    <x:t xml:space="preserve">SRC-033</x:t>
  </x:si>
  <x:si>
    <x:t xml:space="preserve">보험 판매수수료 개편 세부 방안 확정(정책브리핑 게재)</x:t>
  </x:si>
  <x:si>
    <x:t xml:space="preserve">2025-06-02</x:t>
  </x:si>
  <x:si>
    <x:t xml:space="preserve">20_추출텍스트/규제에_관한_docs/보험_판매수수료_보도자료_MD_2종/2025-06-02_보험_판매수수료_개편_세부방안_확정.md</x:t>
  </x:si>
  <x:si>
    <x:t xml:space="preserve">공통비 19%·선지급 100%·유지관리 7년 월 0.8%·장기유지 5~7년차·GA 1200%룰 확대·차익거래 기간 확대(정책안)</x:t>
  </x:si>
  <x:si>
    <x:t xml:space="preserve">정책안 단계 보도자료. 최종 고시(SRC-003)·현행 감독규정(SRC-022)과 다르면 고시 우선. 공식 URL: https://www.korea.kr/news/policyNewsView.do?newsId=148943929 (금융위 https://www.fsc.go.kr/no010101/84721)</x:t>
  </x:si>
  <x:si>
    <x:t xml:space="preserve">SRC-034</x:t>
  </x:si>
  <x:si>
    <x:t xml:space="preserve">GA업계, 분급수수료 지급기준 정할 시점 고민 — 제3차 수수료 개편 FAQ 보도</x:t>
  </x:si>
  <x:si>
    <x:t xml:space="preserve">보험신보</x:t>
  </x:si>
  <x:si>
    <x:t xml:space="preserve">2026-10-05</x:t>
  </x:si>
  <x:si>
    <x:t xml:space="preserve">20_추출텍스트/추가/GA업계_분급수수료_지급기준_3차_FAQ_보도.md</x:t>
  </x:si>
  <x:si>
    <x:t xml:space="preserve">유지관리수수료 지급여부 포함 지급기준 자율, 기간 단축 시 월액 상향 금지, 담당자 변경 시 지급기간 합산 상한</x:t>
  </x:si>
  <x:si>
    <x:t xml:space="preserve">2차 자료. 제3차 FAQ 원문 미확보(보험저널 2026-09-30: 10월 중순 이후 배포 예정) — 확정 규칙으로 쓰지 않고 REVIEW_REQUIRED 후보로만 사용. URL: https://www.insweek.co.kr/news/articleView.html?idxno=72577</x:t>
  </x:si>
  <x:si>
    <x:t xml:space="preserve">※ 관리용 시트 — 문서 버전 이력입니다. 요구사항을 읽으러 온 팀원은 보지 않아도 됩니다.</x:t>
  </x:si>
  <x:si>
    <x:t xml:space="preserve">FGC 요구사항명세서 — 개정 이력 (현행 v3.0)</x:t>
  </x:si>
  <x:si>
    <x:t xml:space="preserve">1. 개정 이력</x:t>
  </x:si>
  <x:si>
    <x:t xml:space="preserve">버전</x:t>
  </x:si>
  <x:si>
    <x:t xml:space="preserve">일자</x:t>
  </x:si>
  <x:si>
    <x:t xml:space="preserve">작성</x:t>
  </x:si>
  <x:si>
    <x:t xml:space="preserve">주요 내용</x:t>
  </x:si>
  <x:si>
    <x:t xml:space="preserve">v0.1</x:t>
  </x:si>
  <x:si>
    <x:t xml:space="preserve">2026-07-16</x:t>
  </x:si>
  <x:si>
    <x:t xml:space="preserve">예소(PM·BA)</x:t>
  </x:si>
  <x:si>
    <x:t xml:space="preserve">요구사항정의서 최초 초안 103건 (전 항목 '미검토'). FGC-FUN-001~044 등 자체 ID 체계</x:t>
  </x:si>
  <x:si>
    <x:t xml:space="preserve">v1.0</x:t>
  </x:si>
  <x:si>
    <x:t xml:space="preserve">팀 수수깡</x:t>
  </x:si>
  <x:si>
    <x:t xml:space="preserve">155건으로 재구성·확장. MoSCoW(M/S/C/W)·1차/2차 릴리스·Epic·SRC 근거 체계 도입. ID 재부여(v0.1과 불일치)</x:t>
  </x:si>
  <x:si>
    <x:t xml:space="preserve">v1.1-draft</x:t>
  </x:si>
  <x:si>
    <x:t xml:space="preserve">원본 미수신 상태에서 브리프0714·규정·경쟁조사 기반 '통합 베이스라인' 별도 작성 (FGC-FR/NFR 체계, 인수기준·RTM·용어사전) — 참고 문서로 유지</x:t>
  </x:si>
  <x:si>
    <x:t xml:space="preserve">v1.2</x:t>
  </x:si>
  <x:si>
    <x:t xml:space="preserve">예소 (AI 협업)</x:t>
  </x:si>
  <x:si>
    <x:t xml:space="preserve">v1.0 골격 기준 병합: v0.1↔v1.0↔v1.1 3중 대사표, 쟁점 9건 도출, 미결정사항 3건 추가·3건 권고 갱신(규제조문표 REG 반영), 근거자료 5건 추가, 유스케이스·용어사전 시트 이관</x:t>
  </x:si>
  <x:si>
    <x:t xml:space="preserve">v1.3</x:t>
  </x:si>
  <x:si>
    <x:t xml:space="preserve">2026-07-23</x:t>
  </x:si>
  <x:si>
    <x:t xml:space="preserve">As-Is/To-Be E2E 업무흐름 반영: ① 신규 시트 03_AsIs_ToBe_업무흐름(액터 8종 정의·수수료 생명주기 12단계 As-Is↔To-Be 매핑·월 정산 사이클 요약) ② FUN-063 차익거래 검증(쟁점 C-04 해소)·FUN-064 수수료 등급(백로그, D-10)·DAR-011 합성 데이터 생성기 등재(OI-016) ③ FUN-036 인수기준에 분급 월 한도율(4년 1.5%·7년 0.8%) 초과 검증 추가(규제조문표 §7-1) ④ 근거자료 SRC-015~018 추가(1200%룰 FAQ 초안·보험저널 7월 연재 최신 7/23·KIRI 환수율 실태·원천데이터/내부정책 정의) ⑤ OI-001·002·016 상태 갱신. 별첨 시각화: FGC_수수료생명주기_AsIs_ToBe_워크플로우.html</x:t>
  </x:si>
  <x:si>
    <x:t xml:space="preserve">v1.4</x:t>
  </x:si>
  <x:si>
    <x:t xml:space="preserve">2026-07-27</x:t>
  </x:si>
  <x:si>
    <x:t xml:space="preserve">신규 제안 3건(FUN-063·064, DAR-011) 승인 확정 · 02_미결정 OI-001~016 전건 권고안 채택 결정 · 테이블정의서 v1.0(ERD)·PostgreSQL DDL 발행 및 RTM 연계 · 근거 SRC-019~021 추가 · 외부 프로젝트 명칭 표현 중립화</x:t>
  </x:si>
  <x:si>
    <x:t xml:space="preserve">v2.0</x:t>
  </x:si>
  <x:si>
    <x:t xml:space="preserve">예소 / AI 협업</x:t>
  </x:si>
  <x:si>
    <x:t xml:space="preserve">원수사 데이터 수집·정규화 기능 전면 삭제(구 FUN-019~024·SIR-003·004·DAR-006·PER-002) 후 정규화 적재 전제 COR-010 신설 · 1차=1,200% 검증 / 2차=4년·7년 분급으로 범위 분리 · 1차 MVC/MyBatis, 2차 JPA/React 기술범위 확정 · FUN-065·COR-010 등재로 158→150건 · 전 요구사항을 쉬운 한국어로 재작성하고 '언제 실행되나·어떻게 만드나' 열 추가</x:t>
  </x:si>
  <x:si>
    <x:t xml:space="preserve">v2.1</x:t>
  </x:si>
  <x:si>
    <x:t xml:space="preserve">냉정검토 결과(68/100) 반영: 1차 MVP 컷라인을 계약별 1,200% 검증으로 확정 · 기준정보 CRUD 축소, 계약상태·원장·환수·대사·분급 2차 이관 · 초과 강제승인 금지와 DRAFT/CONFIRMED 분리 · 수식 22건·무효참조·RTM Epic 정합성 교정 · 현업 인터뷰를 완료조건에서 제거</x:t>
  </x:si>
  <x:si>
    <x:t xml:space="preserve">v2.2</x:t>
  </x:si>
  <x:si>
    <x:t xml:space="preserve">2026-07-31</x:t>
  </x:si>
  <x:si>
    <x:t xml:space="preserve">예소(PM·BA) / AI 협업</x:t>
  </x:si>
  <x:si>
    <x:t xml:space="preserve">최종 배포 범위 확정: ① 기존 회사별 지급스케줄을 1차 FUN-036으로 복원 ② 원수사→GA·GA→설계사 양방향 스케줄 ③ 복식부기 검증원장·역분개·대사·예외·차익거래를 1차로 이동 ④ 월 실행을 통합 규제·정산 검증으로 확대 ⑤ 2차에 4년·7년 법정 분급, 모든 계약 초년도 1,200%, 계약체결비용, 유지관리·장기유지수수료 검증 명시 ⑥ RTM·업무흐름·유스케이스·구현순서·용어사전 동기화</x:t>
  </x:si>
  <x:si>
    <x:t xml:space="preserve">v2.2.1</x:t>
  </x:si>
  <x:si>
    <x:t xml:space="preserve">규제근거 최신화: SRC-014를 규제조문표 v0.2.1(REG-01~24)로 교체하고 현행 감독규정·시행세칙·별표 반영 · REG-19~24를 기능·데이터 요구사항과 RTM에 연결 · 공통비 19% 법정 고정값 제거, 준법경영비 3% 적용단계 분리 · 릴리스 범위와 요구사항 수(150건) 변경 없음</x:t>
  </x:si>
  <x:si>
    <x:t xml:space="preserve">v2.2.2</x:t>
  </x:si>
  <x:si>
    <x:t xml:space="preserve">요구사항 정합성 검증·기술범위 동기화: 마스터·유형별 상세·RTM의 150개 요구사항 ID 집합 완전 일치(누락·중복 0건) · 제목·릴리스·우선순위·근거 등 공통필드와 표 범위를 상세 명세 기준으로 통일 · Spring Batch를 1차부터 사용(Job 2개 → 2차 5개 확장)하도록 ECR·FUN-045 정정 · 병합 쟁점·대사표 최종 상태 반영</x:t>
  </x:si>
  <x:si>
    <x:t xml:space="preserve">v2.2.2-r1</x:t>
  </x:si>
  <x:si>
    <x:t xml:space="preserve">FUN 탭 역반영: 리포지토리 FUN CSV의 2026-08-12~08-20 교정 11건(FUN-018·031·036·040·047·048·049·052·053·059·065, 근거 SRC-025·SRC-027 D-05·SRC-029·운영정책서 제7·20·36조)을 xlsx에 반영. FUN-041은 xlsx 값(FINALIZED·1차 Spring Batch, SRC-027 D-02)을 정본으로 CSV에 반영. 02_확정_결정사항 OI-020(H21) 정착지원금 귀속을 지급월→모집월로 교정(REG-20, SRC-025 Q7-1, SRC-029). 요구사항 수(150건) 변경 없음</x:t>
  </x:si>
  <x:si>
    <x:t xml:space="preserve">v2.2.2-r2</x:t>
  </x:si>
  <x:si>
    <x:t xml:space="preserve">FUN·비기능 탭 정합성 점검: FUN-034 예외 업무키·상태(SRC-032), FUN-052 예외 업무키(SRC-032), FUN-048 1차 Spring Batch 대사 Step(SRC-027 D-02), SER-003 2차 JWT CSRF(SRC-028), DAR-008 계약자 이름 미저장(SRC-027 D-05), SAR-003 적용 시점(SRC-027 D-02), DAR-011 정착지원금 모집월 귀속(REG-20·SRC-025) 정정 · 01_요구사항_마스터 관련요구사항·근거 칸을 상세 탭과 재동기화. 근거 ID 없는 불일치는 근거대장에 보류로 기록</x:t>
  </x:si>
  <x:si>
    <x:t xml:space="preserve">v2.2.2-r3</x:t>
  </x:si>
  <x:si>
    <x:t xml:space="preserve">사용자 확인 반영: COR-009 화면 교육용 문구 미표기(팀 결정 2026-08-12) · ECR-002 MyBatis→JPA 전면 전환·MyBatis 제거(GitHub #366·#383, FUN-058·SER-004·TER-004 연동) · 협업도구를 GitHub Issues·PR·Projects/Notion/Google Calendar/Discord로 정정(PMR-002·003·005, QUR-001, 00_문서개요, RTM) · 브랜치 규칙 CONTRIBUTING.md §2(PMR-004) · 베이스라인 v2.2.2(PMR-001) · 2차 일정 9/22~11/16·W1~W8·M0~M4·코드 동결 11/06(PMR-006·007, 00_문서개요) · 모듈 경계 실제 패키지(QUR-002) · TER-002 대사 1차 · ECR-001·003 스키마 표기 · Jira Epic 열 이름 변경</x:t>
  </x:si>
  <x:si>
    <x:t xml:space="preserve">v2.2.2-r4</x:t>
  </x:si>
  <x:si>
    <x:t xml:space="preserve">ADR-03 개정(전면 JPA 전환)과 맞춤: QueryDSL을 "필요 시 도입"으로 정정 — develop be57d169 기준 QueryDSL 의존성·사용처 0, 동적 검색은 QueryRepository의 EntityManager JPQL·네이티브 쿼리(00_문서개요 E16·D26, ECR-002, FUN-037·058·064, SER-004)</x:t>
  </x:si>
  <x:si>
    <x:t xml:space="preserve">v2.2.2-r5</x:t>
  </x:si>
  <x:si>
    <x:t xml:space="preserve">QueryDSL 표기 보정: 현재 JPA+JPQL(EntityManager 조립), 마지막 단계에서 동적 조회를 QueryDSL로 전환 예정(사용자 확인) — 00_문서개요 E16·D26, ECR-002, FUN-058, SER-004</x:t>
  </x:si>
  <x:si>
    <x:t xml:space="preserve">v2.2.2-r6</x:t>
  </x:si>
  <x:si>
    <x:t xml:space="preserve">나머지 탭 전수 점검: 00_문서개요(없는 Z2 시트 안내 삭제·Jenkins 추가) · 02 OI-019(귀속 컬럼 attribution_month·contract_month_no, 화면 미표기) · OI-011(ADR-05 배포 확정) · 03 9단계 대사 1차 Spring Batch(SRC-027 D-02) · 90 UC-01을 FUN-057에 맞춤 · 91 용어 6건(옛 ID·표 이름·배치 시점) · 99_근거자료를 근거대장 기준본(00_인덱스/99_근거자료.csv, SRC-001~032)으로 동기화 · ECR-005·SER-008 배포 방식(ADR-05) · FUN-065 옛 표 이름</x:t>
  </x:si>
  <x:si>
    <x:t xml:space="preserve">v2.2.2-r7</x:t>
  </x:si>
  <x:si>
    <x:t xml:space="preserve">규제 해석 검증(로컬 원문 SRC-022·025 대조) 반영: FUN-008 신인 4단계 · FUN-012·013 준법경영비 시행일 · FUN-031 이연분 근거 등급 · FUN-037 TM 4년 특례 · FUN-038 장기유지 표현 · FUN-054 차익거래 환수 의무 · FUN-060 REG-17 오인용 삭제 · FUN-063 차익거래 판정식·적용시점·경과기간·FAQ 운영기준 · 03 근거 등급 · 91 용어 7건</x:t>
  </x:si>
  <x:si>
    <x:t xml:space="preserve">v2.2.2-r8</x:t>
  </x:si>
  <x:si>
    <x:t xml:space="preserve">1,200% 판정식 방향 명시: FUN-030 해약환급금은 산입금액 쪽 합산(한도 가산 아님), FUN-012 준법경영비는 산입금액 제외(실질 1,203%) — SRC-022 제4-32조⑤⑭, SRC-025 Q1-1. 화면정의서 CAP-W01(:915-918)·CapCalculatorImpl(:93·99)은 반대 방향으로 구현돼 있어 별도 확인 필요</x:t>
  </x:si>
  <x:si>
    <x:t xml:space="preserve">v2.2.2-r9</x:t>
  </x:si>
  <x:si>
    <x:t xml:space="preserve">RTM 150건 재추적(develop be57d169, 정적 분석): 설계문서·구현모듈(실제 패키지)·화면 ID/API(/api/v1)·테스트 클래스·추적상태(추적완료 66 / 해당없음 33 / 진행중(2차) 19 / 미착수(2차) 20 / 구현·테스트 부족 12) 갱신</x:t>
  </x:si>
  <x:si>
    <x:t xml:space="preserve">v2.2.2-r10</x:t>
  </x:si>
  <x:si>
    <x:t xml:space="preserve">규제·업계 실무 재점검 반영: 02 OI-018 규칙별 적용 시작일(1,200% GA 2026-07-01·보험사 2021-01-01, 차익거래 2026-03-01·TM 2027-01-01) · OI-019 초년도 판정을 귀속일(attribution_date) 일 단위로 정정(attribution_month는 파생값) · 91 법정 분급(판매개시일 기준·특례 종료 기준일 미확정), 공통비 19% 출처(금융위 2025-06-02 보도자료 SRC-033 추가 — r7은 업계 기사만 출처로 적음), 귀속월 정의 · 99_근거자료 SRC-033·034 추가</x:t>
  </x:si>
  <x:si>
    <x:t xml:space="preserve">v2.2.2-r11</x:t>
  </x:si>
  <x:si>
    <x:t xml:space="preserve">판매채널 범위 결정(SRC-036, 2026-10-13 팀 회의 — FGC는 대면 모집만, TM·방송채널 미취급) 반영: FUN-007·012·013·014·037·063, 02 OI-001·002·018, 91 법정 분급·준법경영비에서 TM·방송 특례(부칙 제1조②·제2조 단서·제3조②, 제4-32조⑦제1·2호) 삭제</x:t>
  </x:si>
  <x:si>
    <x:t xml:space="preserve">v2.2.2-r12</x:t>
  </x:si>
  <x:si>
    <x:t xml:space="preserve">PR #531 리뷰 반영: 분급체계 판정 기준에서 판매채널 삭제(SRC-036, REG-19) — FUN-014 인수조건·구현 힌트(channel_special_rule 컬럼은 V50에서 삭제), FUN-007·037·038 인수조건, FUN-038 세부내용, FUN-062 세부내용</x:t>
  </x:si>
  <x:si>
    <x:t xml:space="preserve">v2.2.2-r13</x:t>
  </x:si>
  <x:si>
    <x:t xml:space="preserve">02 OI-010 결론 기재: "2차는 단일 GA로 간다"(2026-10-19 팀 결정, 프로젝트 가정 — 업무 규칙 아님). 기존 H11은 "권고안 채택"만 있고 결론이 없었음. FGC-SER-011은 조건("멀티 GA 지원 시")이 성립하지 않아 2차 구현 대상 아님. 근거: 팀 결정, 관련 SRC-005. 백업 .xlsx.bak_20261019-oi010</x:t>
  </x:si>
  <x:si>
    <x:t xml:space="preserve">v2.2.2-r14</x:t>
  </x:si>
  <x:si>
    <x:t xml:space="preserve">OI-010 결정 동기화: FGC-SER-011 우선순위 M→W(98_코드정의 W = 현 베이스라인 제외) — SER E12·L12·N12, 01 마스터 F106·N106, RTM E106·L106·M106. 02 OI-010 H11 근거 문구 정정(V1 :125는 GA 유형 허용일 뿐 개수 제한이 아님 — 단일 GA 근거는 팀 결정). 근거: OI-010, SRC-005. 백업 .xlsx.bak_20261019-oi010b</x:t>
  </x:si>
  <x:si>
    <x:t xml:space="preserve">v2.2.2-r15</x:t>
  </x:si>
  <x:si>
    <x:t xml:space="preserve">2차 요구사항 추가(팀 승인 전 제안, 상태 초안 — 마스터 J열 목록에 "제안"이 없어 "초안"으로 기록): FUN-066~086(21건)·SIR-009·DAR-012·SER-013·TER-011·PER-008, 02 OI-021~025(검토중). 주제: AI 문서 입력(해약환급률표·정산데이터 Must, 수수료율표·시책·증권 Should), 피코·근거 질의·정산 탐정·수수료 영수증·계약 타임머신, 대형 GA 비교설명(별표 5의6, 600인 가상 GA), 관리자 홈 2×2·자료마당·공지·문의/이의·환수 통지서 PDF, 설계사 역할·홈. 근거: SRC-056(별표 5의6 전사)·057(OpenAI 파일 입력)·058(티금융 원시 파일 실측) 신규, SRC-025 Q11·Q12-2·Q17~24, SRC-002, REG-12·14·18·23. 기존 셀 변경 없음(00_문서개요 C9·B11·B16 건수·버전 문구만 갱신). COR-010(업로드 제외)과의 충돌은 OI-021에 기록 — 00_문서개요 E21·F33의 COR-010 문구도 팀 승인 전까지 그대로 둠. 용량 주의: 2차 Must가 10→23건. 백업 .xlsx.bak_20261021-ai2</x:t>
  </x:si>
  <x:si>
    <x:t xml:space="preserve">v2.2.2-r16</x:t>
  </x:si>
  <x:si>
    <x:t xml:space="preserve">독립 검토(Codex, outputs/r15-review-20261022) 반영. r15 신규 행만 수정: FUN-068을 "원천 명세 적재"로 바꿈(INSURER_STATEMENT·statement_batch, 지급 승인 검증으로 거르지 않고 기존 기표·대사·예외가 판정 — 이름 변경), FUN-067 정책 DRAFT→승인·활성화·적용일(FUN-017 최소 승인 흐름을 필수 의존으로, SRC-049), FUN-069 문서/행 상태 분리·부분 확정·같은 키 다른 본문 거절, FUN-084 문서 생성과 통지 등록 분리(이름 변경), FUN-078/079 비교설명 예외 정정(간단보험은 간단보험대리점 모집 시에만 — Q22, 업권 2개 이하 예외는 증빙 필요, 계약자 선택 상품 포함 검증, PDF 생성≠확인서 수령), FUN-066 분류와 추출 지원 분리·합성 문서만·OI-021 결정 전 착수 보류, FUN-073 Must를 FUN-072·074 없이 완결되게, FUN-080 Must 합격 범위 ①② · 성능은 PER-004 합의 따름, FUN-085 문서함 원본은 내부 역할만, FUN-072/074/076/077, DAR-012·OI-024 대형 GA 기준(직전 분기 일평균 600명 가정), TER-011 평가 매트릭스·오수락·무수정 처리율, OI-021·025. r15 기록의 "2차 Must 10→23" 정정: 2차 Must는 기능 19(기존 10+신규 9)·비기능 14(기존 10+신규 4) = 33. 기존 드리프트 동기화(기존 셀 변경, 별도 기록): FUN 시트 FGC-FUN-012:G, FGC-FUN-012:K, FGC-FUN-012:M, FGC-FUN-012:N, FGC-FUN-018:G, FGC-FUN-030:G, FGC-FUN-030:K, FGC-FUN-030:M, FGC-FUN-030:N, FGC-FUN-032:G, FGC-FUN-032:N ← repo FUN CSV(#482 #539·#486·#490 #508 병합본, vault CSV도 같이 맞춤). RTM H174·H176·H177 "해당 없음+검증 산출물". 00_문서개요 B21 최종 발표일 11-18(SRC-051, 마감 11-16·동결 11-06은 유지). 백업 .xlsx.bak_20261022-r16</x:t>
  </x:si>
  <x:si>
    <x:t xml:space="preserve">v2.2.2-r17</x:t>
  </x:si>
  <x:si>
    <x:t xml:space="preserve">OI-021 결정(사용자 위임, 2026-10-22): 2차 한정 조건부 허용 — 02 G22·H22. 기존 셀 변경(승인된 범위 예외 연결): COR 시트 FGC-COR-010 G·H·J·K·N, 마스터 K·M·N, RTM M, FUN-066 G(착수 보류 문구 → 예외 범위 문구), 00_문서개요 E21·F33·B16. COR-010 원칙 문장은 지우지 않고 2차 예외만 덧붙임. 같은 날 DB설계서·ERD v1.3(docs/2차, 2차 제안 테이블 15개) 반영에 맞춰 FUN-068 G 의 data_origin 문구 갱신. 백업 .xlsx.bak_20261022-r17</x:t>
  </x:si>
  <x:si>
    <x:t xml:space="preserve">v2.2.2-r18</x:t>
  </x:si>
  <x:si>
    <x:t xml:space="preserve">재검토(outputs/r16-review-20261022) 반영. N01 FUN-068 명세 종류별 처리 범위(지급 행만 기표·대사, 차감·조정·환수 명세는 보존·후속 검증 대기, 단계·재개·미선정 표시) — 기존 기표·대사 쿼리가 PAYMENT·INSURER_COMMISSION만 읽음을 코드로 확인. N02 보험사 정정 명세는 전체 대체본만(판 번호·SUPERSEDED·이전 원천 CANCELLED·역분개, 차액본은 검토 대기). N03 FUN-079 비교설명 초안 서버 저장 후 초안 ID·판으로 확인서 생성(IF-API-66A). N04 FUN-069 행 제외·부분 확정 후 거절/재추출 금지. N05 FUN-084 첫 통지/추가 통지 상태 규칙. §5: FUN-066 협회 등급자료(⑤)를 Must 추출 서식으로, FUN-078 협회 자료는 기준일 버전 참조 자료(정책 승인 대상 아님)·순위 대응 집합 없으면 확인서 차단, TER-011에 FUN-078 평가, FUN-067 최소 승인 API(IF-API-75). OI-023 결정(사용자 위임): OpenAI Responses API, 모델 설정값(gpt-6.1-sol·gpt-6-luna), 공식 Java SDK 게이트웨이, store=false — SRC-059 신규, SER-013 갱신. 기존 셀 변경: 02 G24·H24(OI-023), H22(OI-021 (가) Must 3종), COR-010 G, RTM H(FUN-067·069·079). 백업 .xlsx.bak_20261022-r18</x:t>
  </x:si>
  <x:si>
    <x:t xml:space="preserve">v2.2.2-r19</x:t>
  </x:si>
  <x:si>
    <x:t xml:space="preserve">r18 재검토(outputs/r18-review-20261022) 반영. R18-01 OI-023 개정: 주최 측 제공 키(10달러·gpt-4o-mini, SRC-060 신규)에 맞춰 기본 모델을 gpt-4o-mini로, 예산·재시도·Files API 미사용 규칙(SER-013). R18-02 FUN-068·069 전체 대체본은 부분 확정·행 제외 없이 한 트랜잭션으로 일괄 전환(실패 시 전부 원복, 동시 대체 하나만). R18-03 마감 후 정정은 2차 범위 밖 — FINALIZED 실행 분개에 연결된 정정은 전환 전 거절(JournalCorrectionServiceImpl validateOriginal 확인), r18의 "과거 실행 100,000원 재현" 인수조건을 "거절·과거 결과 불변"으로 교체. R18-04 협회 순위 자료 유일키에 비교 집합 포함(DB 제안). P2 확인서 수령을 PDF 판마다(FUN-079), Files API 보존(SER-013), TER-011 실제 호출 예산 규칙. 기존 셀 변경: 02 H24(OI-023). 백업 .xlsx.bak_20261022-r19</x:t>
  </x:si>
  <x:si>
    <x:t xml:space="preserve">v3.0</x:t>
  </x:si>
  <x:si>
    <x:t xml:space="preserve">현준</x:t>
  </x:si>
  <x:si>
    <x:t xml:space="preserve">2차 기능 44개를 팀 합의로 재정리: 포함 27개(M 15·S 12), 제외 17개(W). 제외 ID: FUN-010·056·064·066~074·078·079·081~083. 행·ID 보존.
FUN-017·029 포함 복원, 054·055·059·075 M 승격. 003·062·077 후순위(062 M 유지), 076 S·보류.
016 info 상세 설명, 059 Excel 전용, 037·038 예정 스케줄 생성·조회로 축소. 담당 설계사 연결 고정. 075·076 AI 설명·요약 제외. 080 GA·설계사 현황/미처리 예외 두 영역. 084 PDF 생성·다운로드·발행 이력만. 085·086 제외 기능 연결 제거.
027 구현중: 조회·정렬 구현, 처리자 표시 및 FUN-026 상태변경 사건 기록 연계 미완. 로컬 develop 확인, 화면 테스트 2건 통과(백엔드 테스트 미실행).
기능 상세·마스터·RTM 동기화, 표지 버전 갱신. 기존 설계문서와 비기능 요구사항은 이번 변경 범위 밖이며 후속 정합성 확인 대상이다.</x:t>
  </x:si>
  <x:si>
    <x:t xml:space="preserve">표시 개정: 기능 상세·마스터·RTM의 릴리스 바로 옆에 진행 여부 열을 추가하고 진행(초록)·미진행(회색)·후순위(노랑)·논의후 진행(보라) 4종과 드롭다운을 적용했다. 2차 집계는 18·17·3·6건. 059·060·084·085·086의 세부 논의와 보류 076은 논의후 진행으로 표시하며 포함 확정은 유지한다. 미진행 항목의 원래 M·S·C를 복원하고 054·055·059·075의 M 승격은 유지했다. 027은 진행 여부=진행, 구현 상태=구현중이다. 초록 머리글·하늘색 교차 행·릴리스 및 우선순위 색상을 복원하고 열 삽입에 따른 수식·표·필터·조건부서식·유효성 검사 참조를 이동했다.</x:t>
  </x:si>
  <x:si>
    <x:t xml:space="preserve">FUN-087 화면별 마스코트 단계형 도움말, FUN-088 업무대시보드 E2E 업무실습 가이드를 2차 진행·M으로 추가했다. 각 탭 도움말, 마스코트·말풍선·강조·이동·줌인, 직접 입력·기존 업무 버튼 처리, 저장 결과 연결과 정상/예외 경로를 정의했다. 사전 작성 안내를 사용하며 AI/LLM·자동 업무대행은 포함하지 않는다. 요구사항 상세·마스터·RTM을 연결하고 제품 구현 추적은 미착수(2차)로 둔다. HTML 목업 검토 후 화면·인터페이스 상세를 반영한다. FUN-058의 기존 미진행 결정과 상충한 비고·RTM 표기를 정정했다. 기존 073·074 미진행과 027 구현중은 유지한다. 현행 2차 기능 46개: 진행 19·미진행 18·논의후 진행 6·후순위 3, 포함 28개(M 17·S 11).</x:t>
  </x:si>
</x:sst>
</file>

<file path=xl/styles.xml><?xml version="1.0" encoding="utf-8"?>
<x:styleSheet xmlns:x="http://schemas.openxmlformats.org/spreadsheetml/2006/main">
  <x:numFmts count="5">
    <x:numFmt numFmtId="42" formatCode="_-&quot;₩&quot;* #,##0_-;\-&quot;₩&quot;* #,##0_-;_-&quot;₩&quot;* &quot;-&quot;_-;_-@_-"/>
    <x:numFmt numFmtId="41" formatCode="_-* #,##0_-;\-* #,##0_-;_-* &quot;-&quot;_-;_-@_-"/>
    <x:numFmt numFmtId="44" formatCode="_-&quot;₩&quot;* #,##0.00_-;\-&quot;₩&quot;* #,##0.00_-;_-&quot;₩&quot;* &quot;-&quot;??_-;_-@_-"/>
    <x:numFmt numFmtId="43" formatCode="_-* #,##0.00_-;\-* #,##0.00_-;_-* &quot;-&quot;??_-;_-@_-"/>
    <x:numFmt numFmtId="176" formatCode="yyyy\-mm\-dd"/>
  </x:numFmts>
  <x:fonts count="71">
    <x:font>
      <x:sz val="10"/>
      <x:name val="Arial"/>
    </x:font>
    <x:font>
      <x:sz val="10"/>
      <x:name val="Arial"/>
    </x:font>
    <x:font>
      <x:b/>
      <x:sz val="18"/>
      <x:color rgb="FFFFFFFF"/>
      <x:name val="Calibri"/>
    </x:font>
    <x:font>
      <x:b/>
      <x:sz val="12"/>
      <x:color rgb="FF2F6B3B"/>
      <x:name val="Noto Sans CJK SC"/>
    </x:font>
    <x:font>
      <x:b/>
      <x:sz val="11"/>
      <x:color rgb="FFFFFFFF"/>
      <x:name val="Noto Sans CJK SC"/>
    </x:font>
    <x:font>
      <x:sz val="11"/>
      <x:name val="Calibri"/>
      <x:family val="2"/>
    </x:font>
    <x:font>
      <x:b/>
      <x:sz val="11"/>
      <x:color rgb="FFFFFFFF"/>
      <x:name val="Calibri"/>
      <x:family val="2"/>
    </x:font>
    <x:font>
      <x:sz val="11"/>
      <x:name val="Noto Sans CJK SC"/>
    </x:font>
    <x:font>
      <x:sz val="11"/>
      <x:name val="Noto Sans CJK SC"/>
    </x:font>
    <x:font>
      <x:b/>
      <x:sz val="14"/>
      <x:color rgb="FF1F3864"/>
      <x:name val="Malgun Gothic"/>
      <x:family val="3"/>
    </x:font>
    <x:font>
      <x:sz val="10"/>
      <x:color rgb="FF595959"/>
      <x:name val="Malgun Gothic"/>
      <x:family val="3"/>
    </x:font>
    <x:font>
      <x:b/>
      <x:sz val="12"/>
      <x:color rgb="FF1F3864"/>
      <x:name val="Malgun Gothic"/>
      <x:family val="3"/>
    </x:font>
    <x:font>
      <x:b/>
      <x:sz val="10"/>
      <x:color rgb="FFFFFFFF"/>
      <x:name val="Noto Sans CJK SC"/>
    </x:font>
    <x:font>
      <x:sz val="10"/>
      <x:name val="Malgun Gothic"/>
      <x:family val="3"/>
    </x:font>
    <x:font>
      <x:sz val="10"/>
      <x:name val="Noto Sans CJK SC"/>
    </x:font>
    <x:font>
      <x:sz val="10"/>
      <x:name val="Noto Sans CJK SC"/>
    </x:font>
    <x:font>
      <x:sz val="10"/>
      <x:name val="맑은 고딕"/>
      <x:family val="3"/>
    </x:font>
    <x:font>
      <x:b/>
      <x:sz val="10"/>
      <x:color rgb="FFFFFFFF"/>
      <x:name val="Malgun Gothic"/>
      <x:family val="3"/>
    </x:font>
    <x:font>
      <x:b/>
      <x:sz val="13"/>
      <x:name val="맑은 고딕"/>
      <x:family val="3"/>
    </x:font>
    <x:font>
      <x:sz val="9"/>
      <x:color rgb="FF555555"/>
      <x:name val="Noto Sans CJK SC"/>
    </x:font>
    <x:font>
      <x:b/>
      <x:sz val="10"/>
      <x:color rgb="FFFFFFFF"/>
      <x:name val="맑은 고딕"/>
      <x:family val="3"/>
    </x:font>
    <x:font>
      <x:b/>
      <x:sz val="10"/>
      <x:name val="Noto Sans CJK SC"/>
    </x:font>
    <x:font>
      <x:b/>
      <x:sz val="10"/>
      <x:name val="맑은 고딕"/>
      <x:family val="3"/>
    </x:font>
    <x:font>
      <x:b/>
      <x:sz val="16"/>
      <x:color rgb="FFFFFFFF"/>
      <x:name val="Arial"/>
      <x:family val="2"/>
    </x:font>
    <x:font>
      <x:b/>
      <x:sz val="12"/>
      <x:color rgb="FFFFFFFF"/>
      <x:name val="Arial"/>
      <x:family val="2"/>
    </x:font>
    <x:font>
      <x:sz val="8"/>
      <x:name val="돋움"/>
      <x:family val="3"/>
    </x:font>
    <x:font>
      <x:sz val="11"/>
      <x:name val="맑은 고딕"/>
      <x:family val="3"/>
    </x:font>
    <x:font>
      <x:b/>
      <x:sz val="11"/>
      <x:color rgb="FF7F0000"/>
      <x:name val="Arial"/>
      <x:family val="2"/>
    </x:font>
    <x:font>
      <x:b/>
      <x:sz val="12"/>
      <x:color rgb="FF1F4E79"/>
      <x:name val="Arial"/>
      <x:family val="2"/>
    </x:font>
    <x:font>
      <x:b/>
      <x:sz val="12"/>
      <x:color rgb="FFFFFFFF"/>
      <x:name val="Calibri"/>
      <x:family val="2"/>
    </x:font>
    <x:font>
      <x:sz val="12"/>
      <x:name val="Arial"/>
      <x:family val="2"/>
    </x:font>
    <x:font>
      <x:b/>
      <x:sz val="12"/>
      <x:name val="Arial"/>
      <x:family val="2"/>
    </x:font>
    <x:font>
      <x:i/>
      <x:sz val="12"/>
      <x:color rgb="FF595959"/>
      <x:name val="Arial"/>
      <x:family val="2"/>
    </x:font>
    <x:font>
      <x:sz val="12"/>
      <x:color rgb="FF7F0000"/>
      <x:name val="Arial"/>
      <x:family val="2"/>
    </x:font>
    <x:font>
      <x:b/>
      <x:sz val="12"/>
      <x:color rgb="FFFFFFFF"/>
      <x:name val="Noto Sans CJK SC"/>
      <x:family val="3"/>
    </x:font>
    <x:font>
      <x:sz val="12"/>
      <x:name val="Calibri"/>
      <x:family val="2"/>
    </x:font>
    <x:font>
      <x:b/>
      <x:sz val="12"/>
      <x:color rgb="FFFFFFFF"/>
      <x:name val="Noto Sans CJK SC"/>
    </x:font>
    <x:font>
      <x:b/>
      <x:sz val="12"/>
      <x:name val="Calibri"/>
      <x:family val="2"/>
    </x:font>
    <x:font>
      <x:sz val="12"/>
      <x:name val="Noto Sans CJK SC"/>
    </x:font>
    <x:font>
      <x:sz val="12"/>
      <x:name val="Noto Sans CJK SC"/>
      <x:family val="3"/>
    </x:font>
    <x:font>
      <x:sz val="10"/>
      <x:name val="Arial"/>
      <x:family val="2"/>
    </x:font>
    <x:font>
      <x:sz val="11"/>
      <x:name val="Arial"/>
      <x:family val="2"/>
    </x:font>
    <x:font>
      <x:b/>
      <x:sz val="10"/>
      <x:color rgb="FFFFFFFF"/>
      <x:name val="Arial"/>
      <x:family val="2"/>
    </x:font>
    <x:font>
      <x:b/>
      <x:sz val="10"/>
      <x:color rgb="FFFFFFFF"/>
      <x:name val="Arial"/>
      <x:family val="2"/>
    </x:font>
    <x:font>
      <x:sz val="10"/>
      <x:color rgb="FF000000"/>
      <x:name val="Arial"/>
      <x:family val="2"/>
    </x:font>
    <x:font>
      <x:b/>
      <x:sz val="10"/>
      <x:color rgb="FF006100"/>
      <x:name val="Arial"/>
      <x:family val="2"/>
    </x:font>
    <x:font>
      <x:b/>
      <x:sz val="10"/>
      <x:color rgb="FFC00000"/>
      <x:name val="Arial"/>
      <x:family val="2"/>
    </x:font>
    <x:font>
      <x:b/>
      <x:sz val="10"/>
      <x:color rgb="FF9C6500"/>
      <x:name val="Arial"/>
      <x:family val="2"/>
    </x:font>
    <x:font>
      <x:b/>
      <x:sz val="10"/>
      <x:color rgb="FF000000"/>
      <x:name val="Arial"/>
      <x:family val="2"/>
    </x:font>
    <x:font>
      <x:b/>
      <x:sz val="10"/>
      <x:color rgb="FF666666"/>
      <x:name val="Arial"/>
      <x:family val="2"/>
    </x:font>
    <x:font>
      <x:sz val="10"/>
      <x:color rgb="FF000000"/>
      <x:name val="Arial"/>
      <x:family val="2"/>
    </x:font>
    <x:font>
      <x:b/>
      <x:sz val="10"/>
      <x:color rgb="FFC00000"/>
      <x:name val="Arial"/>
      <x:family val="2"/>
    </x:font>
    <x:font>
      <x:b/>
      <x:sz val="10"/>
      <x:color rgb="FF7030A0"/>
      <x:name val="Arial"/>
      <x:family val="2"/>
    </x:font>
    <x:font>
      <x:b/>
      <x:sz val="11"/>
      <x:color rgb="FFFFFFFF"/>
      <x:name val="Calibri"/>
      <x:family val="2"/>
    </x:font>
    <x:font>
      <x:b/>
      <x:sz val="11"/>
      <x:color rgb="FFFFFFFF"/>
      <x:name val="Noto Sans CJK SC"/>
    </x:font>
    <x:font>
      <x:sz val="11"/>
      <x:color rgb="FF000000"/>
      <x:name val="Calibri"/>
      <x:family val="2"/>
    </x:font>
    <x:font>
      <x:sz val="11"/>
      <x:color rgb="FF000000"/>
      <x:name val="Noto Sans CJK SC"/>
    </x:font>
    <x:font>
      <x:b/>
      <x:sz val="11"/>
      <x:color rgb="FFC00000"/>
      <x:name val="Calibri"/>
      <x:family val="2"/>
    </x:font>
    <x:font>
      <x:b/>
      <x:sz val="11"/>
      <x:color rgb="FF000000"/>
      <x:name val="Calibri"/>
      <x:family val="2"/>
    </x:font>
    <x:font>
      <x:sz val="10"/>
      <x:name val="Malgun Gothic"/>
      <x:family val="3"/>
    </x:font>
    <x:font>
      <x:sz val="10"/>
      <x:name val="Noto Sans CJK SC"/>
    </x:font>
    <x:font>
      <x:sz val="10"/>
      <x:name val="맑은 고딕"/>
      <x:family val="3"/>
    </x:font>
    <x:font>
      <x:sz val="10"/>
      <x:color rgb="FF000000"/>
      <x:name val="맑은 고딕"/>
      <x:family val="2"/>
    </x:font>
    <x:font>
      <x:sz val="10"/>
      <x:color rgb="FF000000"/>
      <x:name val="맑은 고딕"/>
      <x:family val="3"/>
    </x:font>
    <x:font>
      <x:sz val="10"/>
      <x:color rgb="FF000000"/>
      <x:name val="Arial"/>
      <x:family val="3"/>
    </x:font>
    <x:font>
      <x:sz val="10"/>
      <x:color rgb="FF1F2937"/>
      <x:name val="Malgun Gothic"/>
      <x:family val="3"/>
    </x:font>
    <x:font>
      <x:sz val="10"/>
      <x:color rgb="FF1F2937"/>
      <x:name val="Noto Sans CJK SC"/>
    </x:font>
    <x:font>
      <x:sz val="10"/>
      <x:color rgb="FF1F2937"/>
      <x:name val="맑은 고딕"/>
      <x:family val="3"/>
    </x:font>
    <x:font>
      <x:sz val="10"/>
      <x:color rgb="FF1F2937"/>
      <x:name val="Malgun Gothic"/>
      <x:family val="3"/>
    </x:font>
    <x:font>
      <x:sz val="10"/>
      <x:color rgb="FF1F2937"/>
      <x:name val="Noto Sans CJK SC"/>
    </x:font>
    <x:font>
      <x:sz val="10"/>
      <x:color rgb="FF1F2937"/>
      <x:name val="맑은 고딕"/>
      <x:family val="3"/>
    </x:font>
  </x:fonts>
  <x:fills count="24">
    <x:fill>
      <x:patternFill patternType="none"/>
    </x:fill>
    <x:fill>
      <x:patternFill patternType="gray125"/>
    </x:fill>
    <x:fill>
      <x:patternFill patternType="solid">
        <x:fgColor rgb="FF2F6B3B"/>
      </x:patternFill>
    </x:fill>
    <x:fill>
      <x:patternFill patternType="solid">
        <x:fgColor rgb="FFE9F3E3"/>
      </x:patternFill>
    </x:fill>
    <x:fill>
      <x:patternFill patternType="solid">
        <x:fgColor rgb="FF4F8A4B"/>
      </x:patternFill>
    </x:fill>
    <x:fill>
      <x:patternFill patternType="solid">
        <x:fgColor rgb="FFF4F9F1"/>
      </x:patternFill>
    </x:fill>
    <x:fill>
      <x:patternFill patternType="solid">
        <x:fgColor rgb="FFFFF2CC"/>
      </x:patternFill>
    </x:fill>
    <x:fill>
      <x:patternFill patternType="solid">
        <x:fgColor rgb="FFDDEBF7"/>
      </x:patternFill>
    </x:fill>
    <x:fill>
      <x:patternFill patternType="solid">
        <x:fgColor rgb="FFFCE4D6"/>
      </x:patternFill>
    </x:fill>
    <x:fill>
      <x:patternFill patternType="solid">
        <x:fgColor rgb="FFF4CCCC"/>
      </x:patternFill>
    </x:fill>
    <x:fill>
      <x:patternFill patternType="solid">
        <x:fgColor rgb="FFE7E6E6"/>
      </x:patternFill>
    </x:fill>
    <x:fill>
      <x:patternFill patternType="solid">
        <x:fgColor rgb="FF1F3864"/>
      </x:patternFill>
    </x:fill>
    <x:fill>
      <x:patternFill patternType="solid">
        <x:fgColor rgb="FFF2F2F2"/>
      </x:patternFill>
    </x:fill>
    <x:fill>
      <x:patternFill patternType="solid">
        <x:fgColor rgb="FF0E1B2E"/>
      </x:patternFill>
    </x:fill>
    <x:fill>
      <x:patternFill patternType="solid">
        <x:fgColor rgb="FF245C35"/>
      </x:patternFill>
    </x:fill>
    <x:fill>
      <x:patternFill patternType="solid">
        <x:fgColor rgb="FF2F6F3E"/>
      </x:patternFill>
    </x:fill>
    <x:fill>
      <x:patternFill patternType="solid">
        <x:fgColor rgb="FFDCE6F1"/>
      </x:patternFill>
    </x:fill>
    <x:fill>
      <x:patternFill patternType="solid">
        <x:fgColor rgb="FF2F6B3E"/>
      </x:patternFill>
    </x:fill>
    <x:fill>
      <x:patternFill patternType="solid">
        <x:fgColor rgb="FFC0E6F5"/>
      </x:patternFill>
    </x:fill>
    <x:fill>
      <x:patternFill patternType="solid">
        <x:fgColor rgb="FFFBE2D5"/>
      </x:patternFill>
    </x:fill>
    <x:fill>
      <x:patternFill patternType="solid">
        <x:fgColor rgb="FFC6EFCE"/>
      </x:patternFill>
    </x:fill>
    <x:fill>
      <x:patternFill patternType="solid">
        <x:fgColor rgb="FFFFFFFF"/>
      </x:patternFill>
    </x:fill>
    <x:fill>
      <x:patternFill patternType="solid">
        <x:fgColor rgb="FFE4DFEC"/>
      </x:patternFill>
    </x:fill>
    <x:fill>
      <x:patternFill patternType="solid">
        <x:fgColor rgb="FFE2F0D9"/>
      </x:patternFill>
    </x:fill>
  </x:fills>
  <x:borders count="4">
    <x:border>
      <x:left/>
      <x:right/>
      <x:top/>
      <x:bottom/>
      <x:diagonal/>
    </x:border>
    <x:border>
      <x:left style="thin">
        <x:color rgb="FFBFBFBF"/>
      </x:left>
      <x:right style="thin">
        <x:color rgb="FFBFBFBF"/>
      </x:right>
      <x:top style="thin">
        <x:color rgb="FFBFBFBF"/>
      </x:top>
      <x:bottom style="thin">
        <x:color rgb="FFBFBFBF"/>
      </x:bottom>
      <x:diagonal/>
    </x:border>
    <x:border>
      <x:left style="thin">
        <x:color rgb="FFC9C6BA"/>
      </x:left>
      <x:right style="thin">
        <x:color rgb="FFC9C6BA"/>
      </x:right>
      <x:top style="thin">
        <x:color rgb="FFC9C6BA"/>
      </x:top>
      <x:bottom style="thin">
        <x:color rgb="FFC9C6BA"/>
      </x:bottom>
      <x:diagonal/>
    </x:border>
    <x:border>
      <x:left/>
      <x:right/>
      <x:top/>
      <x:bottom style="thin">
        <x:color auto="1"/>
      </x:bottom>
      <x:diagonal/>
    </x:border>
  </x:borders>
  <x:cellStyleXfs count="9">
    <x:xf numFmtId="0" fontId="0" fillId="0" borderId="0"/>
    <x:xf numFmtId="43" fontId="1" fillId="0" borderId="0"/>
    <x:xf numFmtId="41" fontId="1" fillId="0" borderId="0"/>
    <x:xf numFmtId="44" fontId="1" fillId="0" borderId="0"/>
    <x:xf numFmtId="42" fontId="1" fillId="0" borderId="0"/>
    <x:xf numFmtId="9" fontId="1" fillId="0" borderId="0"/>
    <x:xf numFmtId="0" fontId="1" fillId="0" borderId="0"/>
    <x:xf numFmtId="0" fontId="29" fillId="2" borderId="0" xfId="6" applyFont="1" applyFill="1" applyAlignment="1">
      <x:alignment horizontal="left" vertical="center"/>
    </x:xf>
    <x:xf numFmtId="0" fontId="29" fillId="2" borderId="0" xfId="0" applyFont="1" applyFill="1" applyAlignment="1">
      <x:alignment horizontal="left" vertical="center"/>
    </x:xf>
  </x:cellStyleXfs>
  <x:cellXfs count="154">
    <x:xf numFmtId="0" fontId="0" fillId="0" borderId="0" xfId="0"/>
    <x:xf numFmtId="0" fontId="8" fillId="0" borderId="0" xfId="6" applyFont="1" applyAlignment="1">
      <x:alignment vertical="top" wrapText="1"/>
    </x:xf>
    <x:xf numFmtId="0" fontId="4" fillId="2" borderId="0" xfId="6" applyFont="1" applyFill="1" applyAlignment="1">
      <x:alignment horizontal="center" vertical="center" wrapText="1"/>
    </x:xf>
    <x:xf numFmtId="0" fontId="5" fillId="0" borderId="0" xfId="6" applyFont="1" applyAlignment="1">
      <x:alignment vertical="top" wrapText="1"/>
    </x:xf>
    <x:xf numFmtId="0" fontId="6" fillId="2" borderId="0" xfId="6" applyFont="1" applyFill="1" applyAlignment="1">
      <x:alignment horizontal="center" vertical="center" wrapText="1"/>
    </x:xf>
    <x:xf numFmtId="0" fontId="7" fillId="0" borderId="0" xfId="6" applyFont="1" applyAlignment="1">
      <x:alignment vertical="top" wrapText="1"/>
    </x:xf>
    <x:xf numFmtId="0" fontId="11" fillId="0" borderId="0" xfId="6" applyFont="1"/>
    <x:xf numFmtId="0" fontId="12" fillId="11" borderId="1" xfId="6" applyFont="1" applyFill="1" applyBorder="1" applyAlignment="1">
      <x:alignment horizontal="center" vertical="center" wrapText="1"/>
    </x:xf>
    <x:xf numFmtId="0" fontId="13" fillId="0" borderId="1" xfId="6" applyFont="1" applyBorder="1" applyAlignment="1">
      <x:alignment vertical="top" wrapText="1"/>
    </x:xf>
    <x:xf numFmtId="0" fontId="14" fillId="0" borderId="1" xfId="6" applyFont="1" applyBorder="1" applyAlignment="1">
      <x:alignment vertical="top" wrapText="1"/>
    </x:xf>
    <x:xf numFmtId="0" fontId="13" fillId="12" borderId="1" xfId="6" applyFont="1" applyFill="1" applyBorder="1" applyAlignment="1">
      <x:alignment vertical="top" wrapText="1"/>
    </x:xf>
    <x:xf numFmtId="0" fontId="14" fillId="12" borderId="1" xfId="6" applyFont="1" applyFill="1" applyBorder="1" applyAlignment="1">
      <x:alignment vertical="top" wrapText="1"/>
    </x:xf>
    <x:xf numFmtId="0" fontId="15" fillId="12" borderId="1" xfId="6" applyFont="1" applyFill="1" applyBorder="1" applyAlignment="1">
      <x:alignment vertical="top" wrapText="1"/>
    </x:xf>
    <x:xf numFmtId="0" fontId="16" fillId="12" borderId="1" xfId="6" applyFont="1" applyFill="1" applyBorder="1" applyAlignment="1">
      <x:alignment vertical="top" wrapText="1"/>
    </x:xf>
    <x:xf numFmtId="0" fontId="17" fillId="11" borderId="1" xfId="6" applyFont="1" applyFill="1" applyBorder="1" applyAlignment="1">
      <x:alignment horizontal="center" vertical="center" wrapText="1"/>
    </x:xf>
    <x:xf numFmtId="0" fontId="18" fillId="0" borderId="0" xfId="6" applyFont="1"/>
    <x:xf numFmtId="0" fontId="19" fillId="0" borderId="0" xfId="6" applyFont="1"/>
    <x:xf numFmtId="0" fontId="12" fillId="13" borderId="2" xfId="6" applyFont="1" applyFill="1" applyBorder="1" applyAlignment="1">
      <x:alignment vertical="center" wrapText="1"/>
    </x:xf>
    <x:xf numFmtId="0" fontId="20" fillId="13" borderId="2" xfId="6" applyFont="1" applyFill="1" applyBorder="1" applyAlignment="1">
      <x:alignment vertical="center" wrapText="1"/>
    </x:xf>
    <x:xf numFmtId="0" fontId="21" fillId="0" borderId="2" xfId="6" applyFont="1" applyBorder="1" applyAlignment="1">
      <x:alignment vertical="top" wrapText="1"/>
    </x:xf>
    <x:xf numFmtId="0" fontId="22" fillId="0" borderId="2" xfId="6" applyFont="1" applyBorder="1" applyAlignment="1">
      <x:alignment vertical="top" wrapText="1"/>
    </x:xf>
    <x:xf numFmtId="0" fontId="14" fillId="0" borderId="2" xfId="6" applyFont="1" applyBorder="1" applyAlignment="1">
      <x:alignment vertical="top" wrapText="1"/>
    </x:xf>
    <x:xf numFmtId="0" fontId="16" fillId="0" borderId="2" xfId="6" applyFont="1" applyBorder="1" applyAlignment="1">
      <x:alignment vertical="top" wrapText="1"/>
    </x:xf>
    <x:xf numFmtId="0" fontId="12" fillId="2" borderId="2" xfId="6" applyFont="1" applyFill="1" applyBorder="1" applyAlignment="1">
      <x:alignment vertical="center" wrapText="1"/>
    </x:xf>
    <x:xf numFmtId="0" fontId="20" fillId="2" borderId="2" xfId="6" applyFont="1" applyFill="1" applyBorder="1" applyAlignment="1">
      <x:alignment vertical="center" wrapText="1"/>
    </x:xf>
    <x:xf numFmtId="0" fontId="19" fillId="0" borderId="0" xfId="6" applyFont="1" applyAlignment="1">
      <x:alignment vertical="top" wrapText="1"/>
    </x:xf>
    <x:xf numFmtId="0" fontId="15" fillId="0" borderId="1" xfId="6" applyFont="1" applyBorder="1" applyAlignment="1">
      <x:alignment vertical="top" wrapText="1"/>
    </x:xf>
    <x:xf numFmtId="0" fontId="24" fillId="15" borderId="0" xfId="6" applyFont="1" applyFill="1" applyAlignment="1">
      <x:alignment horizontal="center" vertical="center" wrapText="1"/>
    </x:xf>
    <x:xf numFmtId="0" fontId="0" fillId="0" borderId="0" xfId="6" applyFont="1" applyAlignment="1">
      <x:alignment vertical="top" wrapText="1"/>
    </x:xf>
    <x:xf numFmtId="0" fontId="0" fillId="0" borderId="0" xfId="0" applyAlignment="1">
      <x:alignment wrapText="1"/>
    </x:xf>
    <x:xf numFmtId="0" fontId="7" fillId="0" borderId="0" xfId="0" applyFont="1" applyAlignment="1">
      <x:alignment vertical="top" wrapText="1"/>
    </x:xf>
    <x:xf numFmtId="0" fontId="5" fillId="0" borderId="0" xfId="0" applyFont="1" applyAlignment="1">
      <x:alignment vertical="top" wrapText="1"/>
    </x:xf>
    <x:xf numFmtId="0" fontId="14" fillId="12" borderId="1" xfId="0" applyFont="1" applyFill="1" applyBorder="1" applyAlignment="1">
      <x:alignment vertical="top" wrapText="1"/>
    </x:xf>
    <x:xf numFmtId="0" fontId="13" fillId="12" borderId="1" xfId="0" applyFont="1" applyFill="1" applyBorder="1" applyAlignment="1">
      <x:alignment vertical="top" wrapText="1"/>
    </x:xf>
    <x:xf numFmtId="0" fontId="13" fillId="0" borderId="1" xfId="0" applyFont="1" applyBorder="1" applyAlignment="1">
      <x:alignment vertical="top" wrapText="1"/>
    </x:xf>
    <x:xf numFmtId="0" fontId="14" fillId="0" borderId="1" xfId="0" applyFont="1" applyBorder="1" applyAlignment="1">
      <x:alignment vertical="top" wrapText="1"/>
    </x:xf>
    <x:xf numFmtId="0" fontId="27" fillId="0" borderId="0" xfId="0" applyFont="1"/>
    <x:xf numFmtId="0" fontId="28" fillId="0" borderId="0" xfId="0" applyFont="1" applyAlignment="1">
      <x:alignment vertical="center"/>
    </x:xf>
    <x:xf numFmtId="0" fontId="26" fillId="0" borderId="0" xfId="6" applyFont="1" applyAlignment="1">
      <x:alignment vertical="top" wrapText="1"/>
    </x:xf>
    <x:xf numFmtId="0" fontId="16" fillId="0" borderId="0" xfId="0" applyFont="1" applyAlignment="1">
      <x:alignment wrapText="1"/>
    </x:xf>
    <x:xf numFmtId="0" fontId="16" fillId="0" borderId="0" xfId="0" applyFont="1"/>
    <x:xf numFmtId="14" fontId="13" fillId="12" borderId="1" xfId="6" applyNumberFormat="1" applyFont="1" applyFill="1" applyBorder="1" applyAlignment="1">
      <x:alignment horizontal="left" vertical="top" wrapText="1"/>
    </x:xf>
    <x:xf numFmtId="0" fontId="9" fillId="0" borderId="0" xfId="6" applyFont="1"/>
    <x:xf numFmtId="0" fontId="10" fillId="0" borderId="0" xfId="6" applyFont="1"/>
    <x:xf numFmtId="0" fontId="13" fillId="0" borderId="1" xfId="6" applyFont="1" applyBorder="1" applyAlignment="1">
      <x:alignment horizontal="left" vertical="top" wrapText="1"/>
    </x:xf>
    <x:xf numFmtId="0" fontId="13" fillId="12" borderId="1" xfId="6" applyFont="1" applyFill="1" applyBorder="1" applyAlignment="1">
      <x:alignment horizontal="left" vertical="top" wrapText="1"/>
    </x:xf>
    <x:xf numFmtId="0" fontId="30" fillId="0" borderId="0" xfId="0" applyFont="1"/>
    <x:xf numFmtId="0" fontId="30" fillId="0" borderId="0" xfId="0" applyFont="1" applyAlignment="1">
      <x:alignment vertical="center"/>
    </x:xf>
    <x:xf numFmtId="0" fontId="31" fillId="16" borderId="3" xfId="0" applyFont="1" applyFill="1" applyBorder="1" applyAlignment="1">
      <x:alignment vertical="center"/>
    </x:xf>
    <x:xf numFmtId="0" fontId="30" fillId="0" borderId="0" xfId="0" applyFont="1" applyAlignment="1">
      <x:alignment horizontal="center" vertical="center"/>
    </x:xf>
    <x:xf numFmtId="0" fontId="30" fillId="0" borderId="0" xfId="0" applyFont="1" applyAlignment="1">
      <x:alignment vertical="center" wrapText="1"/>
    </x:xf>
    <x:xf numFmtId="0" fontId="32" fillId="0" borderId="0" xfId="0" applyFont="1" applyAlignment="1">
      <x:alignment horizontal="center" vertical="center"/>
    </x:xf>
    <x:xf numFmtId="0" fontId="32" fillId="0" borderId="0" xfId="0" applyFont="1" applyAlignment="1">
      <x:alignment vertical="center" wrapText="1"/>
    </x:xf>
    <x:xf numFmtId="0" fontId="33" fillId="0" borderId="0" xfId="0" applyFont="1" applyAlignment="1">
      <x:alignment vertical="center"/>
    </x:xf>
    <x:xf numFmtId="0" fontId="34" fillId="4" borderId="0" xfId="6" applyFont="1" applyFill="1" applyAlignment="1">
      <x:alignment horizontal="left" vertical="center"/>
    </x:xf>
    <x:xf numFmtId="0" fontId="35" fillId="5" borderId="0" xfId="6" applyFont="1" applyFill="1" applyAlignment="1">
      <x:alignment vertical="center" wrapText="1"/>
    </x:xf>
    <x:xf numFmtId="0" fontId="29" fillId="4" borderId="0" xfId="6" applyFont="1" applyFill="1" applyAlignment="1">
      <x:alignment horizontal="left" vertical="center"/>
    </x:xf>
    <x:xf numFmtId="0" fontId="36" fillId="4" borderId="0" xfId="6" applyFont="1" applyFill="1" applyAlignment="1">
      <x:alignment horizontal="left" vertical="center"/>
    </x:xf>
    <x:xf numFmtId="0" fontId="37" fillId="6" borderId="0" xfId="6" applyFont="1" applyFill="1" applyAlignment="1">
      <x:alignment horizontal="center" vertical="center"/>
    </x:xf>
    <x:xf numFmtId="0" fontId="37" fillId="7" borderId="0" xfId="6" applyFont="1" applyFill="1" applyAlignment="1">
      <x:alignment horizontal="center" vertical="center"/>
    </x:xf>
    <x:xf numFmtId="176" fontId="35" fillId="5" borderId="0" xfId="0" applyNumberFormat="1" applyFont="1" applyFill="1" applyAlignment="1">
      <x:alignment vertical="center" wrapText="1"/>
    </x:xf>
    <x:xf numFmtId="0" fontId="38" fillId="5" borderId="0" xfId="6" applyFont="1" applyFill="1" applyAlignment="1">
      <x:alignment vertical="center" wrapText="1"/>
    </x:xf>
    <x:xf numFmtId="0" fontId="36" fillId="2" borderId="0" xfId="6" applyFont="1" applyFill="1" applyAlignment="1">
      <x:alignment horizontal="center" vertical="center" wrapText="1"/>
    </x:xf>
    <x:xf numFmtId="0" fontId="35" fillId="8" borderId="0" xfId="6" applyFont="1" applyFill="1" applyAlignment="1">
      <x:alignment vertical="top" wrapText="1"/>
    </x:xf>
    <x:xf numFmtId="0" fontId="38" fillId="8" borderId="0" xfId="6" applyFont="1" applyFill="1" applyAlignment="1">
      <x:alignment vertical="top" wrapText="1"/>
    </x:xf>
    <x:xf numFmtId="0" fontId="35" fillId="9" borderId="0" xfId="6" applyFont="1" applyFill="1" applyAlignment="1">
      <x:alignment vertical="top" wrapText="1"/>
    </x:xf>
    <x:xf numFmtId="0" fontId="38" fillId="9" borderId="0" xfId="6" applyFont="1" applyFill="1" applyAlignment="1">
      <x:alignment vertical="top" wrapText="1"/>
    </x:xf>
    <x:xf numFmtId="0" fontId="35" fillId="7" borderId="0" xfId="6" applyFont="1" applyFill="1" applyAlignment="1">
      <x:alignment vertical="top" wrapText="1"/>
    </x:xf>
    <x:xf numFmtId="0" fontId="38" fillId="7" borderId="0" xfId="6" applyFont="1" applyFill="1" applyAlignment="1">
      <x:alignment vertical="top" wrapText="1"/>
    </x:xf>
    <x:xf numFmtId="0" fontId="35" fillId="6" borderId="0" xfId="6" applyFont="1" applyFill="1" applyAlignment="1">
      <x:alignment vertical="top" wrapText="1"/>
    </x:xf>
    <x:xf numFmtId="0" fontId="38" fillId="6" borderId="0" xfId="6" applyFont="1" applyFill="1" applyAlignment="1">
      <x:alignment vertical="top" wrapText="1"/>
    </x:xf>
    <x:xf numFmtId="0" fontId="38" fillId="3" borderId="0" xfId="6" applyFont="1" applyFill="1" applyAlignment="1">
      <x:alignment vertical="top" wrapText="1"/>
    </x:xf>
    <x:xf numFmtId="0" fontId="35" fillId="3" borderId="0" xfId="6" applyFont="1" applyFill="1" applyAlignment="1">
      <x:alignment vertical="top" wrapText="1"/>
    </x:xf>
    <x:xf numFmtId="0" fontId="35" fillId="10" borderId="0" xfId="6" applyFont="1" applyFill="1" applyAlignment="1">
      <x:alignment vertical="top" wrapText="1"/>
    </x:xf>
    <x:xf numFmtId="0" fontId="38" fillId="10" borderId="0" xfId="6" applyFont="1" applyFill="1" applyAlignment="1">
      <x:alignment vertical="top" wrapText="1"/>
    </x:xf>
    <x:xf numFmtId="0" fontId="38" fillId="0" borderId="0" xfId="6" applyFont="1" applyAlignment="1">
      <x:alignment vertical="top" wrapText="1"/>
    </x:xf>
    <x:xf numFmtId="0" fontId="35" fillId="0" borderId="0" xfId="6" applyFont="1" applyAlignment="1">
      <x:alignment vertical="top" wrapText="1"/>
    </x:xf>
    <x:xf numFmtId="0" fontId="40" fillId="0" borderId="0" xfId="0" applyFont="1"/>
    <x:xf numFmtId="0" fontId="41" fillId="0" borderId="0" xfId="0" applyFont="1"/>
    <x:xf numFmtId="14" fontId="13" fillId="12" borderId="1" xfId="0" applyNumberFormat="1" applyFont="1" applyFill="1" applyBorder="1" applyAlignment="1">
      <x:alignment horizontal="left" vertical="top" wrapText="1"/>
    </x:xf>
    <x:xf numFmtId="0" fontId="15" fillId="12" borderId="1" xfId="0" applyFont="1" applyFill="1" applyBorder="1" applyAlignment="1">
      <x:alignment vertical="top" wrapText="1"/>
    </x:xf>
    <x:xf numFmtId="0" fontId="16" fillId="12" borderId="1" xfId="0" applyFont="1" applyFill="1" applyBorder="1" applyAlignment="1">
      <x:alignment vertical="top" wrapText="1"/>
    </x:xf>
    <x:xf numFmtId="0" fontId="8" fillId="0" borderId="0" xfId="0" applyFont="1" applyAlignment="1">
      <x:alignment vertical="top" wrapText="1"/>
    </x:xf>
    <x:xf numFmtId="0" fontId="1" fillId="0" borderId="0" xfId="0" applyFont="1"/>
    <x:xf numFmtId="0" fontId="1" fillId="0" borderId="0" xfId="0" applyFont="1" applyAlignment="1">
      <x:alignment wrapText="1"/>
    </x:xf>
    <x:xf numFmtId="0" fontId="42" fillId="17" borderId="0" xfId="7" applyFont="1" applyFill="1" applyAlignment="1">
      <x:alignment horizontal="center" vertical="center"/>
    </x:xf>
    <x:xf numFmtId="0" fontId="43" fillId="17" borderId="0" xfId="7" applyFont="1" applyFill="1" applyAlignment="1">
      <x:alignment horizontal="center" vertical="center"/>
    </x:xf>
    <x:xf numFmtId="0" fontId="44" fillId="18" borderId="0" xfId="7" applyFont="1" applyFill="1" applyAlignment="1">
      <x:alignment wrapText="1"/>
    </x:xf>
    <x:xf numFmtId="0" fontId="44" fillId="19" borderId="0" xfId="7" applyFont="1" applyFill="1" applyAlignment="1">
      <x:alignment wrapText="1"/>
    </x:xf>
    <x:xf numFmtId="0" fontId="45" fillId="20" borderId="0" xfId="7" applyFont="1" applyFill="1" applyAlignment="1">
      <x:alignment horizontal="center" vertical="center"/>
    </x:xf>
    <x:xf numFmtId="0" fontId="46" fillId="9" borderId="0" xfId="7" applyFont="1" applyFill="1" applyAlignment="1">
      <x:alignment wrapText="1"/>
    </x:xf>
    <x:xf numFmtId="0" fontId="44" fillId="21" borderId="0" xfId="7" applyFont="1" applyFill="1" applyAlignment="1">
      <x:alignment wrapText="1"/>
    </x:xf>
    <x:xf numFmtId="0" fontId="44" fillId="7" borderId="0" xfId="7" applyFont="1" applyFill="1" applyAlignment="1">
      <x:alignment wrapText="1"/>
    </x:xf>
    <x:xf numFmtId="0" fontId="47" fillId="6" borderId="0" xfId="7" applyFont="1" applyFill="1" applyAlignment="1">
      <x:alignment horizontal="center" vertical="center"/>
    </x:xf>
    <x:xf numFmtId="0" fontId="48" fillId="6" borderId="0" xfId="7" applyFont="1" applyFill="1" applyAlignment="1">
      <x:alignment wrapText="1"/>
    </x:xf>
    <x:xf numFmtId="0" fontId="49" fillId="10" borderId="0" xfId="7" applyFont="1" applyFill="1" applyAlignment="1">
      <x:alignment horizontal="center" vertical="center"/>
    </x:xf>
    <x:xf numFmtId="0" fontId="50" fillId="21" borderId="0" xfId="7" applyFont="1" applyFill="1" applyAlignment="1">
      <x:alignment wrapText="1"/>
    </x:xf>
    <x:xf numFmtId="0" fontId="50" fillId="7" borderId="0" xfId="7" applyFont="1" applyFill="1" applyAlignment="1">
      <x:alignment wrapText="1"/>
    </x:xf>
    <x:xf numFmtId="0" fontId="51" fillId="9" borderId="0" xfId="7" applyFont="1" applyFill="1" applyAlignment="1">
      <x:alignment wrapText="1"/>
    </x:xf>
    <x:xf numFmtId="0" fontId="50" fillId="18" borderId="0" xfId="7" applyFont="1" applyFill="1" applyAlignment="1">
      <x:alignment wrapText="1"/>
    </x:xf>
    <x:xf numFmtId="0" fontId="48" fillId="7" borderId="0" xfId="7" applyFont="1" applyFill="1" applyAlignment="1">
      <x:alignment wrapText="1"/>
    </x:xf>
    <x:xf numFmtId="0" fontId="52" fillId="22" borderId="0" xfId="7" applyFont="1" applyFill="1" applyAlignment="1">
      <x:alignment horizontal="center" vertical="center"/>
    </x:xf>
    <x:xf numFmtId="0" fontId="53" fillId="17" borderId="0" xfId="7" applyFont="1" applyFill="1" applyAlignment="1">
      <x:alignment horizontal="center" vertical="center"/>
    </x:xf>
    <x:xf numFmtId="0" fontId="54" fillId="17" borderId="0" xfId="7" applyFont="1" applyFill="1" applyAlignment="1">
      <x:alignment horizontal="center" vertical="center"/>
    </x:xf>
    <x:xf numFmtId="0" fontId="55" fillId="18" borderId="0" xfId="7" applyFont="1" applyFill="1" applyAlignment="1">
      <x:alignment vertical="top" wrapText="1"/>
    </x:xf>
    <x:xf numFmtId="0" fontId="56" fillId="18" borderId="0" xfId="7" applyFont="1" applyFill="1" applyAlignment="1">
      <x:alignment vertical="top" wrapText="1"/>
    </x:xf>
    <x:xf numFmtId="0" fontId="55" fillId="19" borderId="0" xfId="7" applyFont="1" applyFill="1" applyAlignment="1">
      <x:alignment vertical="top" wrapText="1"/>
    </x:xf>
    <x:xf numFmtId="0" fontId="57" fillId="9" borderId="0" xfId="7" applyFont="1" applyFill="1" applyAlignment="1">
      <x:alignment vertical="top" wrapText="1"/>
    </x:xf>
    <x:xf numFmtId="0" fontId="55" fillId="21" borderId="0" xfId="7" applyFont="1" applyFill="1" applyAlignment="1">
      <x:alignment vertical="top" wrapText="1"/>
    </x:xf>
    <x:xf numFmtId="0" fontId="56" fillId="21" borderId="0" xfId="7" applyFont="1" applyFill="1" applyAlignment="1">
      <x:alignment vertical="top" wrapText="1"/>
    </x:xf>
    <x:xf numFmtId="0" fontId="55" fillId="7" borderId="0" xfId="7" applyFont="1" applyFill="1" applyAlignment="1">
      <x:alignment vertical="top" wrapText="1"/>
    </x:xf>
    <x:xf numFmtId="0" fontId="58" fillId="6" borderId="0" xfId="7" applyFont="1" applyFill="1" applyAlignment="1">
      <x:alignment vertical="top" wrapText="1"/>
    </x:xf>
    <x:xf numFmtId="0" fontId="58" fillId="7" borderId="0" xfId="7" applyFont="1" applyFill="1" applyAlignment="1">
      <x:alignment vertical="top" wrapText="1"/>
    </x:xf>
    <x:xf numFmtId="0" fontId="56" fillId="23" borderId="0" xfId="7" applyFont="1" applyFill="1" applyAlignment="1">
      <x:alignment vertical="top" wrapText="1"/>
    </x:xf>
    <x:xf numFmtId="0" fontId="44" fillId="18" borderId="0" xfId="7" applyFont="1" applyFill="1" applyAlignment="1"/>
    <x:xf numFmtId="0" fontId="44" fillId="21" borderId="0" xfId="7" applyFont="1" applyFill="1" applyAlignment="1"/>
    <x:xf numFmtId="0" fontId="58" fillId="10" borderId="0" xfId="7" applyFont="1" applyFill="1" applyAlignment="1">
      <x:alignment vertical="top" wrapText="1"/>
    </x:xf>
    <x:xf numFmtId="0" fontId="56" fillId="7" borderId="0" xfId="7" applyFont="1" applyFill="1" applyAlignment="1">
      <x:alignment vertical="top" wrapText="1"/>
    </x:xf>
    <x:xf numFmtId="0" fontId="56" fillId="19" borderId="0" xfId="7" applyFont="1" applyFill="1" applyAlignment="1">
      <x:alignment vertical="top" wrapText="1"/>
    </x:xf>
    <x:xf numFmtId="0" fontId="59" fillId="12" borderId="1" xfId="7" applyFont="1" applyFill="1" applyBorder="1" applyAlignment="1">
      <x:alignment vertical="top" wrapText="1"/>
    </x:xf>
    <x:xf numFmtId="14" fontId="59" fillId="12" borderId="1" xfId="7" applyNumberFormat="1" applyFont="1" applyFill="1" applyBorder="1" applyAlignment="1">
      <x:alignment horizontal="left" vertical="top" wrapText="1"/>
    </x:xf>
    <x:xf numFmtId="0" fontId="60" fillId="12" borderId="1" xfId="7" applyFont="1" applyFill="1" applyBorder="1" applyAlignment="1">
      <x:alignment vertical="top" wrapText="1"/>
    </x:xf>
    <x:xf numFmtId="0" fontId="61" fillId="12" borderId="1" xfId="7" applyFont="1" applyFill="1" applyBorder="1" applyAlignment="1">
      <x:alignment vertical="top" wrapText="1"/>
    </x:xf>
    <x:xf numFmtId="0" fontId="30" fillId="0" borderId="0" xfId="0" applyFont="1"/>
    <x:xf numFmtId="0" fontId="30" fillId="0" borderId="0" xfId="0" applyFont="1" applyAlignment="1">
      <x:alignment vertical="center" wrapText="1"/>
    </x:xf>
    <x:xf numFmtId="0" fontId="38" fillId="0" borderId="0" xfId="6" applyFont="1" applyAlignment="1">
      <x:alignment vertical="top" wrapText="1"/>
    </x:xf>
    <x:xf numFmtId="0" fontId="36" fillId="4" borderId="0" xfId="6" applyFont="1" applyFill="1" applyAlignment="1">
      <x:alignment horizontal="left" vertical="center"/>
    </x:xf>
    <x:xf numFmtId="0" fontId="31" fillId="16" borderId="0" xfId="0" applyFont="1" applyFill="1" applyAlignment="1">
      <x:alignment vertical="center" wrapText="1"/>
    </x:xf>
    <x:xf numFmtId="0" fontId="3" fillId="3" borderId="0" xfId="6" applyFont="1" applyFill="1" applyAlignment="1">
      <x:alignment vertical="center"/>
    </x:xf>
    <x:xf numFmtId="0" fontId="12" fillId="11" borderId="1" xfId="6" applyFont="1" applyFill="1" applyBorder="1" applyAlignment="1">
      <x:alignment horizontal="center" vertical="center" wrapText="1"/>
    </x:xf>
    <x:xf numFmtId="0" fontId="32" fillId="0" borderId="0" xfId="0" applyFont="1" applyAlignment="1">
      <x:alignment vertical="center" wrapText="1"/>
    </x:xf>
    <x:xf numFmtId="0" fontId="39" fillId="0" borderId="0" xfId="6" applyFont="1" applyAlignment="1">
      <x:alignment vertical="top" wrapText="1"/>
    </x:xf>
    <x:xf numFmtId="0" fontId="0" fillId="0" borderId="0" xfId="0"/>
    <x:xf numFmtId="0" fontId="23" fillId="14" borderId="0" xfId="6" applyFont="1" applyFill="1" applyAlignment="1">
      <x:alignment vertical="center"/>
    </x:xf>
    <x:xf numFmtId="0" fontId="2" fillId="2" borderId="0" xfId="6" applyFont="1" applyFill="1" applyAlignment="1">
      <x:alignment horizontal="left" vertical="center"/>
    </x:xf>
    <x:xf numFmtId="0" fontId="64" fillId="18" borderId="0" xfId="7" applyFont="1" applyFill="1" applyAlignment="1">
      <x:alignment wrapText="1"/>
    </x:xf>
    <x:xf numFmtId="0" fontId="64" fillId="21" borderId="0" xfId="7" applyFont="1" applyFill="1" applyAlignment="1">
      <x:alignment wrapText="1"/>
    </x:xf>
    <x:xf numFmtId="0" fontId="49" fillId="10" borderId="0" xfId="8" applyFont="1" applyFill="1" applyAlignment="1">
      <x:alignment horizontal="center" vertical="center"/>
    </x:xf>
    <x:xf numFmtId="0" fontId="47" fillId="6" borderId="0" xfId="8" applyFont="1" applyFill="1" applyAlignment="1">
      <x:alignment horizontal="center" vertical="center"/>
    </x:xf>
    <x:xf numFmtId="0" fontId="45" fillId="20" borderId="0" xfId="8" applyFont="1" applyFill="1" applyAlignment="1">
      <x:alignment horizontal="center" vertical="center"/>
    </x:xf>
    <x:xf numFmtId="0" fontId="13" fillId="12" borderId="1" xfId="8" applyFont="1" applyFill="1" applyBorder="1" applyAlignment="1">
      <x:alignment vertical="top" wrapText="1"/>
    </x:xf>
    <x:xf numFmtId="14" fontId="13" fillId="12" borderId="1" xfId="8" applyNumberFormat="1" applyFont="1" applyFill="1" applyBorder="1" applyAlignment="1">
      <x:alignment horizontal="left" vertical="top" wrapText="1"/>
    </x:xf>
    <x:xf numFmtId="0" fontId="14" fillId="12" borderId="1" xfId="8" applyFont="1" applyFill="1" applyBorder="1" applyAlignment="1">
      <x:alignment vertical="top" wrapText="1"/>
    </x:xf>
    <x:xf numFmtId="0" fontId="16" fillId="12" borderId="1" xfId="8" applyFont="1" applyFill="1" applyBorder="1" applyAlignment="1">
      <x:alignment vertical="top" wrapText="1"/>
    </x:xf>
    <x:xf numFmtId="0" fontId="65" fillId="12" borderId="1" xfId="0" applyNumberFormat="1" applyFont="1" applyFill="1" applyBorder="1" applyAlignment="1">
      <x:alignment vertical="top" wrapText="1"/>
    </x:xf>
    <x:xf numFmtId="14" fontId="65" fillId="12" borderId="1" xfId="0" applyNumberFormat="1" applyFont="1" applyFill="1" applyBorder="1" applyAlignment="1">
      <x:alignment horizontal="left" vertical="top" wrapText="1"/>
    </x:xf>
    <x:xf numFmtId="0" fontId="66" fillId="12" borderId="1" xfId="0" applyNumberFormat="1" applyFont="1" applyFill="1" applyBorder="1" applyAlignment="1">
      <x:alignment vertical="top" wrapText="1"/>
    </x:xf>
    <x:xf numFmtId="0" fontId="67" fillId="12" borderId="1" xfId="0" applyNumberFormat="1" applyFont="1" applyFill="1" applyBorder="1" applyAlignment="1">
      <x:alignment vertical="top" wrapText="1"/>
    </x:xf>
    <x:xf numFmtId="0" fontId="52" fillId="22" borderId="0" xfId="8" applyFont="1" applyFill="1" applyAlignment="1">
      <x:alignment horizontal="center" vertical="center"/>
    </x:xf>
    <x:xf numFmtId="0" fontId="52" fillId="22" borderId="0" xfId="0" applyNumberFormat="1" applyFont="1" applyFill="1" applyBorder="1" applyAlignment="1">
      <x:alignment horizontal="center" vertical="center" wrapText="1"/>
    </x:xf>
    <x:xf numFmtId="0" fontId="68" fillId="12" borderId="1" xfId="0" applyNumberFormat="1" applyFont="1" applyFill="1" applyBorder="1" applyAlignment="1">
      <x:alignment vertical="top" wrapText="1"/>
    </x:xf>
    <x:xf numFmtId="14" fontId="68" fillId="12" borderId="1" xfId="0" applyNumberFormat="1" applyFont="1" applyFill="1" applyBorder="1" applyAlignment="1">
      <x:alignment horizontal="left" vertical="top" wrapText="1"/>
    </x:xf>
    <x:xf numFmtId="0" fontId="69" fillId="12" borderId="1" xfId="0" applyNumberFormat="1" applyFont="1" applyFill="1" applyBorder="1" applyAlignment="1">
      <x:alignment vertical="top" wrapText="1"/>
    </x:xf>
    <x:xf numFmtId="0" fontId="70" fillId="12" borderId="1" xfId="0" applyNumberFormat="1" applyFont="1" applyFill="1" applyBorder="1" applyAlignment="1">
      <x:alignment vertical="top" wrapText="1"/>
    </x:xf>
  </x:cellXfs>
  <x:cellStyles count="7">
    <x:cellStyle name="Comma" xfId="1"/>
    <x:cellStyle name="Comma [0]" xfId="2"/>
    <x:cellStyle name="Currency" xfId="3"/>
    <x:cellStyle name="Currency [0]" xfId="4"/>
    <x:cellStyle name="Normal" xfId="6"/>
    <x:cellStyle name="Percent" xfId="5"/>
    <x:cellStyle name="표준" xfId="0"/>
  </x:cellStyles>
  <x:dxfs count="138">
    <x:dxf>
      <x:font>
        <x:b/>
      </x:font>
      <x:fill>
        <x:patternFill>
          <x:bgColor rgb="FFC6E0B4"/>
        </x:patternFill>
      </x:fill>
    </x:dxf>
    <x:dxf>
      <x:font>
        <x:b/>
        <x:color rgb="FFC00000"/>
      </x:font>
      <x:fill>
        <x:patternFill>
          <x:bgColor rgb="FFF4CCCC"/>
        </x:patternFill>
      </x:fill>
    </x:dxf>
    <x:dxf>
      <x:font>
        <x:b/>
        <x:color rgb="FF7030A0"/>
      </x:font>
      <x:fill>
        <x:patternFill>
          <x:bgColor rgb="FFE4DFEC"/>
        </x:patternFill>
      </x:fill>
    </x:dxf>
    <x:dxf>
      <x:font>
        <x:b/>
        <x:color rgb="FF9C6500"/>
      </x:font>
      <x:fill>
        <x:patternFill>
          <x:bgColor rgb="FFFFF2CC"/>
        </x:patternFill>
      </x:fill>
    </x:dxf>
    <x:dxf>
      <x:font>
        <x:b/>
        <x:color rgb="FF666666"/>
      </x:font>
      <x:fill>
        <x:patternFill>
          <x:bgColor rgb="FFE7E6E6"/>
        </x:patternFill>
      </x:fill>
    </x:dxf>
    <x:dxf>
      <x:font>
        <x:b/>
        <x:color rgb="FF006100"/>
      </x:font>
      <x:fill>
        <x:patternFill>
          <x:bgColor rgb="FFC6EFCE"/>
        </x:patternFill>
      </x:fill>
    </x:dxf>
    <x:dxf>
      <x:fill>
        <x:patternFill>
          <x:bgColor rgb="FFDDEBF7"/>
        </x:patternFill>
      </x:fill>
    </x:dxf>
    <x:dxf>
      <x:font>
        <x:b/>
      </x:font>
      <x:fill>
        <x:patternFill>
          <x:bgColor rgb="FFFFF2CC"/>
        </x:patternFill>
      </x:fill>
    </x:dxf>
    <x:dxf>
      <x:font>
        <x:b/>
        <x:color rgb="FFC00000"/>
      </x:font>
      <x:fill>
        <x:patternFill>
          <x:bgColor rgb="FFF4CCCC"/>
        </x:patternFill>
      </x:fill>
    </x:dxf>
    <x:dxf>
      <x:fill>
        <x:patternFill>
          <x:bgColor rgb="FFE9F3E3"/>
        </x:patternFill>
      </x:fill>
    </x:dxf>
    <x:dxf>
      <x:fill>
        <x:patternFill>
          <x:bgColor rgb="FFDDEBF7"/>
        </x:patternFill>
      </x:fill>
    </x:dxf>
    <x:dxf>
      <x:fill>
        <x:patternFill>
          <x:bgColor rgb="FFFCE4D6"/>
        </x:patternFill>
      </x:fill>
    </x:dxf>
    <x:dxf>
      <x:fill>
        <x:patternFill>
          <x:bgColor rgb="FFDDEBF7"/>
        </x:patternFill>
      </x:fill>
    </x:dxf>
    <x:dxf>
      <x:font>
        <x:b/>
      </x:font>
      <x:fill>
        <x:patternFill>
          <x:bgColor rgb="FFFFF2CC"/>
        </x:patternFill>
      </x:fill>
    </x:dxf>
    <x:dxf>
      <x:font>
        <x:b/>
        <x:color rgb="FFC00000"/>
      </x:font>
      <x:fill>
        <x:patternFill>
          <x:bgColor rgb="FFF4CCCC"/>
        </x:patternFill>
      </x:fill>
    </x:dxf>
    <x:dxf>
      <x:fill>
        <x:patternFill>
          <x:bgColor rgb="FFE9F3E3"/>
        </x:patternFill>
      </x:fill>
    </x:dxf>
    <x:dxf>
      <x:fill>
        <x:patternFill>
          <x:bgColor rgb="FFDDEBF7"/>
        </x:patternFill>
      </x:fill>
    </x:dxf>
    <x:dxf>
      <x:fill>
        <x:patternFill>
          <x:bgColor rgb="FFFCE4D6"/>
        </x:patternFill>
      </x:fill>
    </x:dxf>
    <x:dxf>
      <x:fill>
        <x:patternFill>
          <x:bgColor rgb="FFDDEBF7"/>
        </x:patternFill>
      </x:fill>
    </x:dxf>
    <x:dxf>
      <x:font>
        <x:b/>
      </x:font>
      <x:fill>
        <x:patternFill>
          <x:bgColor rgb="FFFFF2CC"/>
        </x:patternFill>
      </x:fill>
    </x:dxf>
    <x:dxf>
      <x:font>
        <x:b/>
        <x:color rgb="FFC00000"/>
      </x:font>
      <x:fill>
        <x:patternFill>
          <x:bgColor rgb="FFF4CCCC"/>
        </x:patternFill>
      </x:fill>
    </x:dxf>
    <x:dxf>
      <x:fill>
        <x:patternFill>
          <x:bgColor rgb="FFE9F3E3"/>
        </x:patternFill>
      </x:fill>
    </x:dxf>
    <x:dxf>
      <x:fill>
        <x:patternFill>
          <x:bgColor rgb="FFDDEBF7"/>
        </x:patternFill>
      </x:fill>
    </x:dxf>
    <x:dxf>
      <x:fill>
        <x:patternFill>
          <x:bgColor rgb="FFFCE4D6"/>
        </x:patternFill>
      </x:fill>
    </x:dxf>
    <x:dxf>
      <x:fill>
        <x:patternFill>
          <x:bgColor rgb="FFDDEBF7"/>
        </x:patternFill>
      </x:fill>
    </x:dxf>
    <x:dxf>
      <x:font>
        <x:b/>
      </x:font>
      <x:fill>
        <x:patternFill>
          <x:bgColor rgb="FFFFF2CC"/>
        </x:patternFill>
      </x:fill>
    </x:dxf>
    <x:dxf>
      <x:font>
        <x:b/>
        <x:color rgb="FFC00000"/>
      </x:font>
      <x:fill>
        <x:patternFill>
          <x:bgColor rgb="FFF4CCCC"/>
        </x:patternFill>
      </x:fill>
    </x:dxf>
    <x:dxf>
      <x:fill>
        <x:patternFill>
          <x:bgColor rgb="FFE9F3E3"/>
        </x:patternFill>
      </x:fill>
    </x:dxf>
    <x:dxf>
      <x:fill>
        <x:patternFill>
          <x:bgColor rgb="FFDDEBF7"/>
        </x:patternFill>
      </x:fill>
    </x:dxf>
    <x:dxf>
      <x:fill>
        <x:patternFill>
          <x:bgColor rgb="FFFCE4D6"/>
        </x:patternFill>
      </x:fill>
    </x:dxf>
    <x:dxf>
      <x:fill>
        <x:patternFill>
          <x:bgColor rgb="FFDDEBF7"/>
        </x:patternFill>
      </x:fill>
    </x:dxf>
    <x:dxf>
      <x:font>
        <x:b/>
      </x:font>
      <x:fill>
        <x:patternFill>
          <x:bgColor rgb="FFFFF2CC"/>
        </x:patternFill>
      </x:fill>
    </x:dxf>
    <x:dxf>
      <x:font>
        <x:b/>
        <x:color rgb="FFC00000"/>
      </x:font>
      <x:fill>
        <x:patternFill>
          <x:bgColor rgb="FFF4CCCC"/>
        </x:patternFill>
      </x:fill>
    </x:dxf>
    <x:dxf>
      <x:fill>
        <x:patternFill>
          <x:bgColor rgb="FFE9F3E3"/>
        </x:patternFill>
      </x:fill>
    </x:dxf>
    <x:dxf>
      <x:fill>
        <x:patternFill>
          <x:bgColor rgb="FFDDEBF7"/>
        </x:patternFill>
      </x:fill>
    </x:dxf>
    <x:dxf>
      <x:fill>
        <x:patternFill>
          <x:bgColor rgb="FFFCE4D6"/>
        </x:patternFill>
      </x:fill>
    </x:dxf>
    <x:dxf>
      <x:fill>
        <x:patternFill>
          <x:bgColor rgb="FFDDEBF7"/>
        </x:patternFill>
      </x:fill>
    </x:dxf>
    <x:dxf>
      <x:font>
        <x:b/>
      </x:font>
      <x:fill>
        <x:patternFill>
          <x:bgColor rgb="FFFFF2CC"/>
        </x:patternFill>
      </x:fill>
    </x:dxf>
    <x:dxf>
      <x:font>
        <x:b/>
        <x:color rgb="FFC00000"/>
      </x:font>
      <x:fill>
        <x:patternFill>
          <x:bgColor rgb="FFF4CCCC"/>
        </x:patternFill>
      </x:fill>
    </x:dxf>
    <x:dxf>
      <x:fill>
        <x:patternFill>
          <x:bgColor rgb="FFE9F3E3"/>
        </x:patternFill>
      </x:fill>
    </x:dxf>
    <x:dxf>
      <x:fill>
        <x:patternFill>
          <x:bgColor rgb="FFDDEBF7"/>
        </x:patternFill>
      </x:fill>
    </x:dxf>
    <x:dxf>
      <x:fill>
        <x:patternFill>
          <x:bgColor rgb="FFFCE4D6"/>
        </x:patternFill>
      </x:fill>
    </x:dxf>
    <x:dxf>
      <x:fill>
        <x:patternFill>
          <x:bgColor rgb="FFDDEBF7"/>
        </x:patternFill>
      </x:fill>
    </x:dxf>
    <x:dxf>
      <x:font>
        <x:b/>
      </x:font>
      <x:fill>
        <x:patternFill>
          <x:bgColor rgb="FFFFF2CC"/>
        </x:patternFill>
      </x:fill>
    </x:dxf>
    <x:dxf>
      <x:font>
        <x:b/>
        <x:color rgb="FFC00000"/>
      </x:font>
      <x:fill>
        <x:patternFill>
          <x:bgColor rgb="FFF4CCCC"/>
        </x:patternFill>
      </x:fill>
    </x:dxf>
    <x:dxf>
      <x:fill>
        <x:patternFill>
          <x:bgColor rgb="FFE9F3E3"/>
        </x:patternFill>
      </x:fill>
    </x:dxf>
    <x:dxf>
      <x:fill>
        <x:patternFill>
          <x:bgColor rgb="FFDDEBF7"/>
        </x:patternFill>
      </x:fill>
    </x:dxf>
    <x:dxf>
      <x:fill>
        <x:patternFill>
          <x:bgColor rgb="FFFCE4D6"/>
        </x:patternFill>
      </x:fill>
    </x:dxf>
    <x:dxf>
      <x:fill>
        <x:patternFill>
          <x:bgColor rgb="FFDDEBF7"/>
        </x:patternFill>
      </x:fill>
    </x:dxf>
    <x:dxf>
      <x:font>
        <x:b/>
      </x:font>
      <x:fill>
        <x:patternFill>
          <x:bgColor rgb="FFFFF2CC"/>
        </x:patternFill>
      </x:fill>
    </x:dxf>
    <x:dxf>
      <x:font>
        <x:b/>
        <x:color rgb="FFC00000"/>
      </x:font>
      <x:fill>
        <x:patternFill>
          <x:bgColor rgb="FFF4CCCC"/>
        </x:patternFill>
      </x:fill>
    </x:dxf>
    <x:dxf>
      <x:fill>
        <x:patternFill>
          <x:bgColor rgb="FFE9F3E3"/>
        </x:patternFill>
      </x:fill>
    </x:dxf>
    <x:dxf>
      <x:fill>
        <x:patternFill>
          <x:bgColor rgb="FFDDEBF7"/>
        </x:patternFill>
      </x:fill>
    </x:dxf>
    <x:dxf>
      <x:fill>
        <x:patternFill>
          <x:bgColor rgb="FFFCE4D6"/>
        </x:patternFill>
      </x:fill>
    </x:dxf>
    <x:dxf>
      <x:fill>
        <x:patternFill>
          <x:bgColor rgb="FFDDEBF7"/>
        </x:patternFill>
      </x:fill>
    </x:dxf>
    <x:dxf>
      <x:font>
        <x:b/>
      </x:font>
      <x:fill>
        <x:patternFill>
          <x:bgColor rgb="FFFFF2CC"/>
        </x:patternFill>
      </x:fill>
    </x:dxf>
    <x:dxf>
      <x:font>
        <x:b/>
        <x:color rgb="FFC00000"/>
      </x:font>
      <x:fill>
        <x:patternFill>
          <x:bgColor rgb="FFF4CCCC"/>
        </x:patternFill>
      </x:fill>
    </x:dxf>
    <x:dxf>
      <x:fill>
        <x:patternFill>
          <x:bgColor rgb="FFE9F3E3"/>
        </x:patternFill>
      </x:fill>
    </x:dxf>
    <x:dxf>
      <x:fill>
        <x:patternFill>
          <x:bgColor rgb="FFDDEBF7"/>
        </x:patternFill>
      </x:fill>
    </x:dxf>
    <x:dxf>
      <x:fill>
        <x:patternFill>
          <x:bgColor rgb="FFFCE4D6"/>
        </x:patternFill>
      </x:fill>
    </x:dxf>
    <x:dxf>
      <x:fill>
        <x:patternFill>
          <x:bgColor rgb="FFDDEBF7"/>
        </x:patternFill>
      </x:fill>
    </x:dxf>
    <x:dxf>
      <x:font>
        <x:b/>
      </x:font>
      <x:fill>
        <x:patternFill>
          <x:bgColor rgb="FFFFF2CC"/>
        </x:patternFill>
      </x:fill>
    </x:dxf>
    <x:dxf>
      <x:font>
        <x:b/>
        <x:color rgb="FFC00000"/>
      </x:font>
      <x:fill>
        <x:patternFill>
          <x:bgColor rgb="FFF4CCCC"/>
        </x:patternFill>
      </x:fill>
    </x:dxf>
    <x:dxf>
      <x:fill>
        <x:patternFill>
          <x:bgColor rgb="FFE9F3E3"/>
        </x:patternFill>
      </x:fill>
    </x:dxf>
    <x:dxf>
      <x:fill>
        <x:patternFill>
          <x:bgColor rgb="FFDDEBF7"/>
        </x:patternFill>
      </x:fill>
    </x:dxf>
    <x:dxf>
      <x:fill>
        <x:patternFill>
          <x:bgColor rgb="FFFCE4D6"/>
        </x:patternFill>
      </x:fill>
    </x:dxf>
    <x:dxf>
      <x:fill>
        <x:patternFill>
          <x:bgColor rgb="FFDDEBF7"/>
        </x:patternFill>
      </x:fill>
    </x:dxf>
    <x:dxf>
      <x:font>
        <x:b/>
      </x:font>
      <x:fill>
        <x:patternFill>
          <x:bgColor rgb="FFFFF2CC"/>
        </x:patternFill>
      </x:fill>
    </x:dxf>
    <x:dxf>
      <x:font>
        <x:b/>
        <x:color rgb="FFC00000"/>
      </x:font>
      <x:fill>
        <x:patternFill>
          <x:bgColor rgb="FFF4CCCC"/>
        </x:patternFill>
      </x:fill>
    </x:dxf>
    <x:dxf>
      <x:fill>
        <x:patternFill>
          <x:bgColor rgb="FFE9F3E3"/>
        </x:patternFill>
      </x:fill>
    </x:dxf>
    <x:dxf>
      <x:fill>
        <x:patternFill>
          <x:bgColor rgb="FFDDEBF7"/>
        </x:patternFill>
      </x:fill>
    </x:dxf>
    <x:dxf>
      <x:fill>
        <x:patternFill>
          <x:bgColor rgb="FFFCE4D6"/>
        </x:patternFill>
      </x:fill>
    </x:dxf>
    <x:dxf>
      <x:fill>
        <x:patternFill>
          <x:bgColor rgb="FFD9EAF7"/>
        </x:patternFill>
      </x:fill>
    </x:dxf>
    <x:dxf>
      <x:fill>
        <x:patternFill>
          <x:bgColor rgb="FFFFF2CC"/>
        </x:patternFill>
      </x:fill>
    </x:dxf>
    <x:dxf>
      <x:font>
        <x:color rgb="FFC00000"/>
      </x:font>
      <x:fill>
        <x:patternFill>
          <x:bgColor rgb="FFF4CCCC"/>
        </x:patternFill>
      </x:fill>
    </x:dxf>
    <x:dxf>
      <x:font>
        <x:b/>
        <x:color rgb="FF7030A0"/>
      </x:font>
      <x:fill>
        <x:patternFill>
          <x:bgColor rgb="FFE4DFEC"/>
        </x:patternFill>
      </x:fill>
    </x:dxf>
    <x:dxf>
      <x:font>
        <x:b/>
        <x:color rgb="FF9C6500"/>
      </x:font>
      <x:fill>
        <x:patternFill>
          <x:bgColor rgb="FFFFF2CC"/>
        </x:patternFill>
      </x:fill>
    </x:dxf>
    <x:dxf>
      <x:font>
        <x:b/>
        <x:color rgb="FF666666"/>
      </x:font>
      <x:fill>
        <x:patternFill>
          <x:bgColor rgb="FFE7E6E6"/>
        </x:patternFill>
      </x:fill>
    </x:dxf>
    <x:dxf>
      <x:font>
        <x:b/>
        <x:color rgb="FF006100"/>
      </x:font>
      <x:fill>
        <x:patternFill>
          <x:bgColor rgb="FFC6EFCE"/>
        </x:patternFill>
      </x:fill>
    </x:dxf>
    <x:dxf>
      <x:fill>
        <x:patternFill>
          <x:bgColor rgb="FFE2F0D9"/>
        </x:patternFill>
      </x:fill>
    </x:dxf>
    <x:dxf>
      <x:fill>
        <x:patternFill>
          <x:bgColor rgb="FFDDEBF7"/>
        </x:patternFill>
      </x:fill>
    </x:dxf>
    <x:dxf>
      <x:fill>
        <x:patternFill>
          <x:bgColor rgb="FFFCE4D6"/>
        </x:patternFill>
      </x:fill>
    </x:dxf>
    <x:dxf>
      <x:fill>
        <x:patternFill>
          <x:bgColor rgb="FFC6E0B4"/>
        </x:patternFill>
      </x:fill>
    </x:dxf>
    <x:dxf>
      <x:font>
        <x:b/>
        <x:color rgb="FFC00000"/>
      </x:font>
      <x:fill>
        <x:patternFill>
          <x:bgColor rgb="FFF4CCCC"/>
        </x:patternFill>
      </x:fill>
    </x:dxf>
    <x:dxf>
      <x:font>
        <x:b/>
      </x:font>
      <x:fill>
        <x:patternFill>
          <x:bgColor rgb="FFC6E0B4"/>
        </x:patternFill>
      </x:fill>
    </x:dxf>
    <x:dxf>
      <x:fill>
        <x:patternFill>
          <x:bgColor rgb="FFDDEBF7"/>
        </x:patternFill>
      </x:fill>
    </x:dxf>
    <x:dxf>
      <x:font>
        <x:b/>
      </x:font>
      <x:fill>
        <x:patternFill>
          <x:bgColor rgb="FFFFF2CC"/>
        </x:patternFill>
      </x:fill>
    </x:dxf>
    <x:dxf>
      <x:font>
        <x:b/>
        <x:color rgb="FFC00000"/>
      </x:font>
      <x:fill>
        <x:patternFill>
          <x:bgColor rgb="FFF4CCCC"/>
        </x:patternFill>
      </x:fill>
    </x:dxf>
    <x:dxf>
      <x:font>
        <x:b/>
        <x:color rgb="FF7030A0"/>
      </x:font>
      <x:fill>
        <x:patternFill>
          <x:bgColor rgb="FFE4DFEC"/>
        </x:patternFill>
      </x:fill>
    </x:dxf>
    <x:dxf>
      <x:font>
        <x:b/>
        <x:color rgb="FF9C6500"/>
      </x:font>
      <x:fill>
        <x:patternFill>
          <x:bgColor rgb="FFFFF2CC"/>
        </x:patternFill>
      </x:fill>
    </x:dxf>
    <x:dxf>
      <x:font>
        <x:b/>
        <x:color rgb="FF666666"/>
      </x:font>
      <x:fill>
        <x:patternFill>
          <x:bgColor rgb="FFE7E6E6"/>
        </x:patternFill>
      </x:fill>
    </x:dxf>
    <x:dxf>
      <x:font>
        <x:b/>
        <x:color rgb="FF006100"/>
      </x:font>
      <x:fill>
        <x:patternFill>
          <x:bgColor rgb="FFC6EFCE"/>
        </x:patternFill>
      </x:fill>
    </x:dxf>
    <x:dxf>
      <x:fill>
        <x:patternFill>
          <x:bgColor rgb="FFE9F3E3"/>
        </x:patternFill>
      </x:fill>
    </x:dxf>
    <x:dxf>
      <x:fill>
        <x:patternFill>
          <x:bgColor rgb="FFDDEBF7"/>
        </x:patternFill>
      </x:fill>
    </x:dxf>
    <x:dxf>
      <x:fill>
        <x:patternFill>
          <x:bgColor rgb="FFFCE4D6"/>
        </x:patternFill>
      </x:fill>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1"/>
      </x:font>
    </x:dxf>
    <x:dxf>
      <x:font>
        <x:sz val="10"/>
        <x:color auto="1"/>
        <x:name val="Arial"/>
        <x:family val="2"/>
      </x:font>
    </x:dxf>
  </x:dxfs>
  <x:colors>
    <x:indexedColors>
      <x:rgbColor rgb="FF000000"/>
      <x:rgbColor rgb="FFFFFFFF"/>
      <x:rgbColor rgb="FFC00000"/>
      <x:rgbColor rgb="FF00FF00"/>
      <x:rgbColor rgb="FF0000FF"/>
      <x:rgbColor rgb="FFFFFF00"/>
      <x:rgbColor rgb="FFFF00FF"/>
      <x:rgbColor rgb="FF00FFFF"/>
      <x:rgbColor rgb="FF800000"/>
      <x:rgbColor rgb="FF2F6B3B"/>
      <x:rgbColor rgb="FF000080"/>
      <x:rgbColor rgb="FF808000"/>
      <x:rgbColor rgb="FF800080"/>
      <x:rgbColor rgb="FF008080"/>
      <x:rgbColor rgb="FFBFBFBF"/>
      <x:rgbColor rgb="FF808080"/>
      <x:rgbColor rgb="FF9999FF"/>
      <x:rgbColor rgb="FF993366"/>
      <x:rgbColor rgb="FFFFF2CC"/>
      <x:rgbColor rgb="FFDDEBF7"/>
      <x:rgbColor rgb="FF660066"/>
      <x:rgbColor rgb="FFFF8080"/>
      <x:rgbColor rgb="FF0066CC"/>
      <x:rgbColor rgb="FFC9C6BA"/>
      <x:rgbColor rgb="FF000080"/>
      <x:rgbColor rgb="FFFF00FF"/>
      <x:rgbColor rgb="FFFFFF00"/>
      <x:rgbColor rgb="FF00FFFF"/>
      <x:rgbColor rgb="FF800080"/>
      <x:rgbColor rgb="FF800000"/>
      <x:rgbColor rgb="FF008080"/>
      <x:rgbColor rgb="FF0000FF"/>
      <x:rgbColor rgb="FF00CCFF"/>
      <x:rgbColor rgb="FFF4F9F1"/>
      <x:rgbColor rgb="FFE9F3E3"/>
      <x:rgbColor rgb="FFFCE4D6"/>
      <x:rgbColor rgb="FFC6E0B4"/>
      <x:rgbColor rgb="FFE7E6E6"/>
      <x:rgbColor rgb="FFF2F2F2"/>
      <x:rgbColor rgb="FFF4CCCC"/>
      <x:rgbColor rgb="FF3366FF"/>
      <x:rgbColor rgb="FF33CCCC"/>
      <x:rgbColor rgb="FF99CC00"/>
      <x:rgbColor rgb="FFFFCC00"/>
      <x:rgbColor rgb="FFFF9900"/>
      <x:rgbColor rgb="FFFF6600"/>
      <x:rgbColor rgb="FF595959"/>
      <x:rgbColor rgb="FF969696"/>
      <x:rgbColor rgb="FF1F3864"/>
      <x:rgbColor rgb="FF4F8A4B"/>
      <x:rgbColor rgb="FF0E1B2E"/>
      <x:rgbColor rgb="FF333300"/>
      <x:rgbColor rgb="FF993300"/>
      <x:rgbColor rgb="FF993366"/>
      <x:rgbColor rgb="FF333399"/>
      <x:rgbColor rgb="FF555555"/>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5add163554e42d8" /><Relationship Type="http://schemas.openxmlformats.org/officeDocument/2006/relationships/theme" Target="/xl/theme/theme1.xml" Id="R6e10c561f0e745fb" /><Relationship Type="http://schemas.openxmlformats.org/officeDocument/2006/relationships/sharedStrings" Target="/xl/sharedStrings.xml" Id="R70d30f22a7ea4739" /><Relationship Type="http://schemas.openxmlformats.org/officeDocument/2006/relationships/worksheet" Target="/xl/worksheets/sheet1.xml" Id="R977294dc1d6741de" /><Relationship Type="http://schemas.openxmlformats.org/officeDocument/2006/relationships/worksheet" Target="/xl/worksheets/sheet2.xml" Id="R05bf963c18cf4203" /><Relationship Type="http://schemas.openxmlformats.org/officeDocument/2006/relationships/worksheet" Target="/xl/worksheets/sheet3.xml" Id="R0cdfbb1e0e304173" /><Relationship Type="http://schemas.openxmlformats.org/officeDocument/2006/relationships/worksheet" Target="/xl/worksheets/sheet4.xml" Id="Re3e123b4ee3d49d8" /><Relationship Type="http://schemas.openxmlformats.org/officeDocument/2006/relationships/worksheet" Target="/xl/worksheets/sheet5.xml" Id="R8ef30c4cd1e346db" /><Relationship Type="http://schemas.openxmlformats.org/officeDocument/2006/relationships/worksheet" Target="/xl/worksheets/sheet6.xml" Id="R7d6f8811f0dd41d5" /><Relationship Type="http://schemas.openxmlformats.org/officeDocument/2006/relationships/worksheet" Target="/xl/worksheets/sheet7.xml" Id="Rdcd7df97293f48fa" /><Relationship Type="http://schemas.openxmlformats.org/officeDocument/2006/relationships/worksheet" Target="/xl/worksheets/sheet8.xml" Id="R9a4bd2607dd949ce" /><Relationship Type="http://schemas.openxmlformats.org/officeDocument/2006/relationships/worksheet" Target="/xl/worksheets/sheet9.xml" Id="R7bdab7ea3ae545df" /><Relationship Type="http://schemas.openxmlformats.org/officeDocument/2006/relationships/worksheet" Target="/xl/worksheets/sheet10.xml" Id="R89916845258f453c" /><Relationship Type="http://schemas.openxmlformats.org/officeDocument/2006/relationships/worksheet" Target="/xl/worksheets/sheet11.xml" Id="R7118ce8997774ada" /><Relationship Type="http://schemas.openxmlformats.org/officeDocument/2006/relationships/worksheet" Target="/xl/worksheets/sheet12.xml" Id="R4ba5d8a32910482d" /><Relationship Type="http://schemas.openxmlformats.org/officeDocument/2006/relationships/worksheet" Target="/xl/worksheets/sheet13.xml" Id="R0c8c9fa426c94962" /><Relationship Type="http://schemas.openxmlformats.org/officeDocument/2006/relationships/worksheet" Target="/xl/worksheets/sheet14.xml" Id="R5ef6275293fd41de" /><Relationship Type="http://schemas.openxmlformats.org/officeDocument/2006/relationships/worksheet" Target="/xl/worksheets/sheet15.xml" Id="R62c8493c7c1143f7" /><Relationship Type="http://schemas.openxmlformats.org/officeDocument/2006/relationships/worksheet" Target="/xl/worksheets/sheet16.xml" Id="Rbd00d2f3daaa47cd" /><Relationship Type="http://schemas.openxmlformats.org/officeDocument/2006/relationships/worksheet" Target="/xl/worksheets/sheet17.xml" Id="R77f876738bbf403b" /><Relationship Type="http://schemas.openxmlformats.org/officeDocument/2006/relationships/worksheet" Target="/xl/worksheets/sheet18.xml" Id="Rf1cf318be5e547b5" /><Relationship Type="http://schemas.openxmlformats.org/officeDocument/2006/relationships/worksheet" Target="/xl/worksheets/sheet19.xml" Id="R309d68be43ff422c" /><Relationship Type="http://schemas.openxmlformats.org/officeDocument/2006/relationships/worksheet" Target="/xl/worksheets/sheet20.xml" Id="R5ab7ae2fbc6d46aa" /><Relationship Type="http://schemas.openxmlformats.org/officeDocument/2006/relationships/worksheet" Target="/xl/worksheets/sheet21.xml" Id="R5b4deeb8dea44f95" /><Relationship Type="http://schemas.openxmlformats.org/officeDocument/2006/relationships/worksheet" Target="/xl/worksheets/sheet22.xml" Id="Rdf7fa73db1d04640" /><Relationship Type="http://schemas.openxmlformats.org/officeDocument/2006/relationships/worksheet" Target="/xl/worksheets/sheet23.xml" Id="R564722785698489e" /></Relationships>
</file>

<file path=xl/tables/table1.xml><?xml version="1.0" encoding="utf-8"?>
<x:table xmlns:x="http://schemas.openxmlformats.org/spreadsheetml/2006/main" id="1" name="TblRequirementsMaster" displayName="TblRequirementsMaster" ref="A1:O179" totalsRowShown="0">
  <x:autoFilter ref="A1:O179">
    <x:filterColumn colId="1">
      <x:filters>
        <x:filter val="기능"/>
      </x:filters>
    </x:filterColumn>
  </x:autoFilter>
  <x:tableColumns count="15">
    <x:tableColumn id="1" name="No"/>
    <x:tableColumn id="2" name="카테고리"/>
    <x:tableColumn id="3" name="요구사항ID"/>
    <x:tableColumn id="4" name="요구사항명"/>
    <x:tableColumn id="5" name="릴리스"/>
    <x:tableColumn id="6" name="진행 여부"/>
    <x:tableColumn id="7" name="우선순위"/>
    <x:tableColumn id="8" name="복잡도"/>
    <x:tableColumn id="9" name="유형"/>
    <x:tableColumn id="10" name="담당역할"/>
    <x:tableColumn id="11" name="상태"/>
    <x:tableColumn id="12" name="관련요구사항"/>
    <x:tableColumn id="13" name="Epic(도메인 묶음)"/>
    <x:tableColumn id="14" name="근거/비고"/>
    <x:tableColumn id="15" name="최종 변경·비고"/>
  </x:tableColumns>
  <x:tableStyleInfo name="TableStyleMedium2" showFirstColumn="0" showLastColumn="0" showRowStripes="1" showColumnStripes="0"/>
</x:table>
</file>

<file path=xl/tables/table2.xml><?xml version="1.0" encoding="utf-8"?>
<x:table xmlns:x="http://schemas.openxmlformats.org/spreadsheetml/2006/main" id="2" name="TblOpenIssues" displayName="TblOpenIssues" ref="A1:I26">
  <x:tableColumns count="9">
    <x:tableColumn id="1" name="ID"/>
    <x:tableColumn id="2" name="영역"/>
    <x:tableColumn id="3" name="미결정 질문"/>
    <x:tableColumn id="4" name="결정기한"/>
    <x:tableColumn id="5" name="담당"/>
    <x:tableColumn id="6" name="영향도"/>
    <x:tableColumn id="7" name="상태"/>
    <x:tableColumn id="8" name="권고/결정내용"/>
    <x:tableColumn id="9" name="관련 요구사항"/>
  </x:tableColumns>
  <x:tableStyleInfo showFirstColumn="0" showLastColumn="0" showRowStripes="1" showColumnStripes="0"/>
</x:table>
</file>

<file path=xl/tables/table3.xml><?xml version="1.0" encoding="utf-8"?>
<x:table xmlns:x="http://schemas.openxmlformats.org/spreadsheetml/2006/main" id="3" name="TblFUN" displayName="TblFUN" ref="A1:O83" totalsRowShown="0">
  <x:autoFilter ref="A1:O83">
    <x:filterColumn colId="3">
      <x:filters>
        <x:filter val="2차"/>
      </x:filters>
    </x:filterColumn>
  </x:autoFilter>
  <x:tableColumns count="15">
    <x:tableColumn id="1" name="요구사항ID"/>
    <x:tableColumn id="2" name="요구사항명"/>
    <x:tableColumn id="3" name="요구사항 정의"/>
    <x:tableColumn id="4" name="릴리스"/>
    <x:tableColumn id="5" name="진행 여부"/>
    <x:tableColumn id="6" name="우선순위"/>
    <x:tableColumn id="7" name="복잡도"/>
    <x:tableColumn id="8" name="세부내용·처리규칙"/>
    <x:tableColumn id="9" name="관련요구사항"/>
    <x:tableColumn id="10" name="산출물"/>
    <x:tableColumn id="11" name="근거·외부의존성"/>
    <x:tableColumn id="12" name="검증기준(인수조건)"/>
    <x:tableColumn id="13" name="언제 실행되나 (시점·주기)"/>
    <x:tableColumn id="14" name="어떻게 만드나 (구현 힌트)"/>
    <x:tableColumn id="15" name="최종 변경·비고"/>
  </x:tableColumns>
  <x:tableStyleInfo name="TableStyleMedium2" showFirstColumn="0" showLastColumn="0" showRowStripes="1" showColumnStripes="0"/>
</x:table>
</file>

<file path=xl/tables/table4.xml><?xml version="1.0" encoding="utf-8"?>
<x:table xmlns:x="http://schemas.openxmlformats.org/spreadsheetml/2006/main" id="4" name="TblPER" displayName="TblPER" ref="A1:N8" totalsRowShown="0" dataDxfId="135">
  <x:tableColumns count="14">
    <x:tableColumn id="1" name="요구사항ID" dataDxfId="134"/>
    <x:tableColumn id="2" name="요구사항명" dataDxfId="133"/>
    <x:tableColumn id="3" name="요구사항 정의" dataDxfId="132"/>
    <x:tableColumn id="4" name="릴리스" dataDxfId="131"/>
    <x:tableColumn id="5" name="우선순위" dataDxfId="130"/>
    <x:tableColumn id="6" name="복잡도" dataDxfId="129"/>
    <x:tableColumn id="7" name="세부내용·처리규칙" dataDxfId="128"/>
    <x:tableColumn id="8" name="관련요구사항" dataDxfId="127"/>
    <x:tableColumn id="9" name="산출물" dataDxfId="126"/>
    <x:tableColumn id="10" name="근거·외부의존성" dataDxfId="125"/>
    <x:tableColumn id="11" name="검증기준(인수조건)" dataDxfId="124"/>
    <x:tableColumn id="12" name="언제 실행되나 (시점·주기)" dataDxfId="123"/>
    <x:tableColumn id="13" name="어떻게 만드나 (구현 힌트)" dataDxfId="122"/>
    <x:tableColumn id="14" name="최종 변경·비고" dataDxfId="121"/>
  </x:tableColumns>
  <x:tableStyleInfo name="TableStyleMedium2" showFirstColumn="0" showLastColumn="0" showRowStripes="1" showColumnStripes="0"/>
</x:table>
</file>

<file path=xl/tables/table5.xml><?xml version="1.0" encoding="utf-8"?>
<x:table xmlns:x="http://schemas.openxmlformats.org/spreadsheetml/2006/main" id="5" name="TblSIR" displayName="TblSIR" ref="A1:N8" totalsRowShown="0">
  <x:tableColumns count="14">
    <x:tableColumn id="1" name="요구사항ID"/>
    <x:tableColumn id="2" name="요구사항명"/>
    <x:tableColumn id="3" name="요구사항 정의"/>
    <x:tableColumn id="4" name="릴리스"/>
    <x:tableColumn id="5" name="우선순위"/>
    <x:tableColumn id="6" name="복잡도"/>
    <x:tableColumn id="7" name="세부내용·처리규칙"/>
    <x:tableColumn id="8" name="관련요구사항"/>
    <x:tableColumn id="9" name="산출물"/>
    <x:tableColumn id="10" name="근거·외부의존성"/>
    <x:tableColumn id="11" name="검증기준(인수조건)"/>
    <x:tableColumn id="12" name="언제 실행되나 (시점·주기)"/>
    <x:tableColumn id="13" name="어떻게 만드나 (구현 힌트)"/>
    <x:tableColumn id="14" name="최종 변경·비고"/>
  </x:tableColumns>
  <x:tableStyleInfo name="TableStyleMedium2" showFirstColumn="0" showLastColumn="0" showRowStripes="1" showColumnStripes="0"/>
</x:table>
</file>

<file path=xl/tables/table6.xml><?xml version="1.0" encoding="utf-8"?>
<x:table xmlns:x="http://schemas.openxmlformats.org/spreadsheetml/2006/main" id="6" name="TblDAR" displayName="TblDAR" ref="A1:N12" totalsRowShown="0">
  <x:tableColumns count="14">
    <x:tableColumn id="1" name="요구사항ID"/>
    <x:tableColumn id="2" name="요구사항명"/>
    <x:tableColumn id="3" name="요구사항 정의"/>
    <x:tableColumn id="4" name="릴리스"/>
    <x:tableColumn id="5" name="우선순위"/>
    <x:tableColumn id="6" name="복잡도"/>
    <x:tableColumn id="7" name="세부내용·처리규칙"/>
    <x:tableColumn id="8" name="관련요구사항"/>
    <x:tableColumn id="9" name="산출물"/>
    <x:tableColumn id="10" name="근거·외부의존성"/>
    <x:tableColumn id="11" name="검증기준(인수조건)"/>
    <x:tableColumn id="12" name="언제 실행되나 (시점·주기)"/>
    <x:tableColumn id="13" name="어떻게 만드나 (구현 힌트)"/>
    <x:tableColumn id="14" name="최종 변경·비고"/>
  </x:tableColumns>
  <x:tableStyleInfo name="TableStyleMedium2" showFirstColumn="0" showLastColumn="0" showRowStripes="1" showColumnStripes="0"/>
</x:table>
</file>

<file path=xl/tables/table7.xml><?xml version="1.0" encoding="utf-8"?>
<x:table xmlns:x="http://schemas.openxmlformats.org/spreadsheetml/2006/main" id="7" name="TblECR" displayName="TblECR" ref="A1:N8" totalsRowShown="0" dataDxfId="119">
  <x:tableColumns count="14">
    <x:tableColumn id="1" name="요구사항ID" dataDxfId="118"/>
    <x:tableColumn id="2" name="요구사항명" dataDxfId="117"/>
    <x:tableColumn id="3" name="요구사항 정의" dataDxfId="116"/>
    <x:tableColumn id="4" name="릴리스" dataDxfId="115"/>
    <x:tableColumn id="5" name="우선순위" dataDxfId="114"/>
    <x:tableColumn id="6" name="복잡도" dataDxfId="113"/>
    <x:tableColumn id="7" name="세부내용·처리규칙" dataDxfId="112"/>
    <x:tableColumn id="8" name="관련요구사항" dataDxfId="111"/>
    <x:tableColumn id="9" name="산출물" dataDxfId="110"/>
    <x:tableColumn id="10" name="근거·외부의존성" dataDxfId="109"/>
    <x:tableColumn id="11" name="검증기준(인수조건)" dataDxfId="108"/>
    <x:tableColumn id="12" name="언제 실행되나 (시점·주기)" dataDxfId="107"/>
    <x:tableColumn id="13" name="어떻게 만드나 (구현 힌트)" dataDxfId="106"/>
    <x:tableColumn id="14" name="최종 변경·비고" dataDxfId="105"/>
  </x:tableColumns>
  <x:tableStyleInfo name="TableStyleMedium2" showFirstColumn="0" showLastColumn="0" showRowStripes="1" showColumnStripes="0"/>
</x:table>
</file>

<file path=xl/tables/table8.xml><?xml version="1.0" encoding="utf-8"?>
<x:table xmlns:x="http://schemas.openxmlformats.org/spreadsheetml/2006/main" id="8" name="TblTER" displayName="TblTER" ref="A1:N12" totalsRowShown="0">
  <x:tableColumns count="14">
    <x:tableColumn id="1" name="요구사항ID"/>
    <x:tableColumn id="2" name="요구사항명"/>
    <x:tableColumn id="3" name="요구사항 정의"/>
    <x:tableColumn id="4" name="릴리스"/>
    <x:tableColumn id="5" name="우선순위"/>
    <x:tableColumn id="6" name="복잡도"/>
    <x:tableColumn id="7" name="세부내용·처리규칙"/>
    <x:tableColumn id="8" name="관련요구사항"/>
    <x:tableColumn id="9" name="산출물"/>
    <x:tableColumn id="10" name="근거·외부의존성"/>
    <x:tableColumn id="11" name="검증기준(인수조건)"/>
    <x:tableColumn id="12" name="언제 실행되나 (시점·주기)"/>
    <x:tableColumn id="13" name="어떻게 만드나 (구현 힌트)"/>
    <x:tableColumn id="14" name="최종 변경·비고"/>
  </x:tableColumns>
  <x:tableStyleInfo name="TableStyleMedium2" showFirstColumn="0" showLastColumn="0" showRowStripes="1" showColumnStripes="0"/>
</x:table>
</file>

<file path=xl/tables/table9.xml><?xml version="1.0" encoding="utf-8"?>
<x:table xmlns:x="http://schemas.openxmlformats.org/spreadsheetml/2006/main" id="9" name="TblSER" displayName="TblSER" ref="A1:N14" totalsRowShown="0">
  <x:tableColumns count="14">
    <x:tableColumn id="1" name="요구사항ID"/>
    <x:tableColumn id="2" name="요구사항명"/>
    <x:tableColumn id="3" name="요구사항 정의"/>
    <x:tableColumn id="4" name="릴리스"/>
    <x:tableColumn id="5" name="우선순위"/>
    <x:tableColumn id="6" name="복잡도"/>
    <x:tableColumn id="7" name="세부내용·처리규칙"/>
    <x:tableColumn id="8" name="관련요구사항"/>
    <x:tableColumn id="9" name="산출물"/>
    <x:tableColumn id="10" name="근거·외부의존성"/>
    <x:tableColumn id="11" name="검증기준(인수조건)"/>
    <x:tableColumn id="12" name="언제 실행되나 (시점·주기)"/>
    <x:tableColumn id="13" name="어떻게 만드나 (구현 힌트)"/>
    <x:tableColumn id="14" name="최종 변경·비고"/>
  </x:tableColumns>
  <x:tableStyleInfo name="TableStyleMedium2" showFirstColumn="0" showLastColumn="0" showRowStripes="1" showColumnStripes="0"/>
</x:table>
</file>

<file path=xl/tables/table10.xml><?xml version="1.0" encoding="utf-8"?>
<x:table xmlns:x="http://schemas.openxmlformats.org/spreadsheetml/2006/main" id="10" name="TblQUR" displayName="TblQUR" ref="A1:N9" totalsRowShown="0">
  <x:tableColumns count="14">
    <x:tableColumn id="1" name="요구사항ID"/>
    <x:tableColumn id="2" name="요구사항명"/>
    <x:tableColumn id="3" name="요구사항 정의"/>
    <x:tableColumn id="4" name="릴리스"/>
    <x:tableColumn id="5" name="우선순위"/>
    <x:tableColumn id="6" name="복잡도"/>
    <x:tableColumn id="7" name="세부내용·처리규칙"/>
    <x:tableColumn id="8" name="관련요구사항"/>
    <x:tableColumn id="9" name="산출물"/>
    <x:tableColumn id="10" name="근거·외부의존성"/>
    <x:tableColumn id="11" name="검증기준(인수조건)"/>
    <x:tableColumn id="12" name="언제 실행되나 (시점·주기)"/>
    <x:tableColumn id="13" name="어떻게 만드나 (구현 힌트)"/>
    <x:tableColumn id="14" name="최종 변경·비고"/>
  </x:tableColumns>
  <x:tableStyleInfo name="TableStyleMedium2" showFirstColumn="0" showLastColumn="0" showRowStripes="1" showColumnStripes="0"/>
</x:table>
</file>

<file path=xl/tables/table11.xml><?xml version="1.0" encoding="utf-8"?>
<x:table xmlns:x="http://schemas.openxmlformats.org/spreadsheetml/2006/main" id="11" name="TblCOR" displayName="TblCOR" ref="A1:N11" totalsRowShown="0">
  <x:tableColumns count="14">
    <x:tableColumn id="1" name="요구사항ID"/>
    <x:tableColumn id="2" name="요구사항명"/>
    <x:tableColumn id="3" name="요구사항 정의"/>
    <x:tableColumn id="4" name="릴리스"/>
    <x:tableColumn id="5" name="우선순위"/>
    <x:tableColumn id="6" name="복잡도"/>
    <x:tableColumn id="7" name="세부내용·처리규칙"/>
    <x:tableColumn id="8" name="관련요구사항"/>
    <x:tableColumn id="9" name="산출물"/>
    <x:tableColumn id="10" name="근거·외부의존성"/>
    <x:tableColumn id="11" name="검증기준(인수조건)"/>
    <x:tableColumn id="12" name="언제 실행되나 (시점·주기)"/>
    <x:tableColumn id="13" name="어떻게 만드나 (구현 힌트)"/>
    <x:tableColumn id="14" name="최종 변경·비고"/>
  </x:tableColumns>
  <x:tableStyleInfo name="TableStyleMedium2" showFirstColumn="0" showLastColumn="0" showRowStripes="1" showColumnStripes="0"/>
</x:table>
</file>

<file path=xl/tables/table12.xml><?xml version="1.0" encoding="utf-8"?>
<x:table xmlns:x="http://schemas.openxmlformats.org/spreadsheetml/2006/main" id="12" name="TblSAR" displayName="TblSAR" ref="A1:N5" totalsRowShown="0">
  <x:tableColumns count="14">
    <x:tableColumn id="1" name="요구사항ID"/>
    <x:tableColumn id="2" name="요구사항명"/>
    <x:tableColumn id="3" name="요구사항 정의"/>
    <x:tableColumn id="4" name="릴리스"/>
    <x:tableColumn id="5" name="우선순위"/>
    <x:tableColumn id="6" name="복잡도"/>
    <x:tableColumn id="7" name="세부내용·처리규칙"/>
    <x:tableColumn id="8" name="관련요구사항"/>
    <x:tableColumn id="9" name="산출물"/>
    <x:tableColumn id="10" name="근거·외부의존성"/>
    <x:tableColumn id="11" name="검증기준(인수조건)"/>
    <x:tableColumn id="12" name="언제 실행되나 (시점·주기)"/>
    <x:tableColumn id="13" name="어떻게 만드나 (구현 힌트)"/>
    <x:tableColumn id="14" name="최종 변경·비고"/>
  </x:tableColumns>
  <x:tableStyleInfo name="TableStyleMedium2" showFirstColumn="0" showLastColumn="0" showRowStripes="1" showColumnStripes="0"/>
</x:table>
</file>

<file path=xl/tables/table13.xml><?xml version="1.0" encoding="utf-8"?>
<x:table xmlns:x="http://schemas.openxmlformats.org/spreadsheetml/2006/main" id="13" name="TblPMR" displayName="TblPMR" ref="A1:N13" totalsRowShown="0">
  <x:tableColumns count="14">
    <x:tableColumn id="1" name="요구사항ID"/>
    <x:tableColumn id="2" name="요구사항명"/>
    <x:tableColumn id="3" name="요구사항 정의"/>
    <x:tableColumn id="4" name="릴리스"/>
    <x:tableColumn id="5" name="우선순위"/>
    <x:tableColumn id="6" name="복잡도"/>
    <x:tableColumn id="7" name="세부내용·처리규칙"/>
    <x:tableColumn id="8" name="관련요구사항"/>
    <x:tableColumn id="9" name="산출물"/>
    <x:tableColumn id="10" name="근거·외부의존성"/>
    <x:tableColumn id="11" name="검증기준(인수조건)"/>
    <x:tableColumn id="12" name="언제 실행되나 (시점·주기)"/>
    <x:tableColumn id="13" name="어떻게 만드나 (구현 힌트)"/>
    <x:tableColumn id="14" name="최종 변경·비고"/>
  </x:tableColumns>
  <x:tableStyleInfo name="TableStyleMedium2" showFirstColumn="0" showLastColumn="0" showRowStripes="1" showColumnStripes="0"/>
</x:table>
</file>

<file path=xl/tables/table14.xml><?xml version="1.0" encoding="utf-8"?>
<x:table xmlns:x="http://schemas.openxmlformats.org/spreadsheetml/2006/main" id="14" name="TblPSR" displayName="TblPSR" ref="A1:N7" totalsRowShown="0">
  <x:tableColumns count="14">
    <x:tableColumn id="1" name="요구사항ID"/>
    <x:tableColumn id="2" name="요구사항명"/>
    <x:tableColumn id="3" name="요구사항 정의"/>
    <x:tableColumn id="4" name="릴리스"/>
    <x:tableColumn id="5" name="우선순위"/>
    <x:tableColumn id="6" name="복잡도"/>
    <x:tableColumn id="7" name="세부내용·처리규칙"/>
    <x:tableColumn id="8" name="관련요구사항"/>
    <x:tableColumn id="9" name="산출물"/>
    <x:tableColumn id="10" name="근거·외부의존성"/>
    <x:tableColumn id="11" name="검증기준(인수조건)"/>
    <x:tableColumn id="12" name="언제 실행되나 (시점·주기)"/>
    <x:tableColumn id="13" name="어떻게 만드나 (구현 힌트)"/>
    <x:tableColumn id="14" name="최종 변경·비고"/>
  </x:tableColumns>
  <x:tableStyleInfo name="TableStyleMedium2" showFirstColumn="0" showLastColumn="0" showRowStripes="1" showColumnStripes="0"/>
</x:table>
</file>

<file path=xl/tables/table15.xml><?xml version="1.0" encoding="utf-8"?>
<x:table xmlns:x="http://schemas.openxmlformats.org/spreadsheetml/2006/main" id="15" name="TblRTM" displayName="TblRTM" ref="A1:N179" totalsRowShown="0">
  <x:tableColumns count="14">
    <x:tableColumn id="1" name="요구사항ID"/>
    <x:tableColumn id="2" name="요구사항명"/>
    <x:tableColumn id="3" name="카테고리"/>
    <x:tableColumn id="4" name="릴리스"/>
    <x:tableColumn id="5" name="진행 여부"/>
    <x:tableColumn id="6" name="우선순위"/>
    <x:tableColumn id="7" name="설계문서"/>
    <x:tableColumn id="8" name="구현모듈"/>
    <x:tableColumn id="9" name="화면·API"/>
    <x:tableColumn id="10" name="테스트케이스"/>
    <x:tableColumn id="11" name="산출물"/>
    <x:tableColumn id="12" name="Epic(도메인 묶음)"/>
    <x:tableColumn id="13" name="추적상태"/>
    <x:tableColumn id="14" name="증적·비고"/>
  </x:tableColumns>
  <x:tableStyleInfo name="TableStyleMedium2" showFirstColumn="0" showLastColumn="0" showRowStripes="1" showColumnStripes="0"/>
</x:table>
</file>

<file path=xl/tables/table16.xml><?xml version="1.0" encoding="utf-8"?>
<x:table xmlns:x="http://schemas.openxmlformats.org/spreadsheetml/2006/main" id="16" name="TblSources" displayName="TblSources" ref="A1:H35" totalsRowShown="0" dataDxfId="103">
  <x:tableColumns count="8">
    <x:tableColumn id="1" name="근거ID" dataDxfId="102"/>
    <x:tableColumn id="2" name="유형" dataDxfId="101"/>
    <x:tableColumn id="3" name="자료명" dataDxfId="100"/>
    <x:tableColumn id="4" name="발행기관/작성자" dataDxfId="99"/>
    <x:tableColumn id="5" name="기준일" dataDxfId="98"/>
    <x:tableColumn id="6" name="URL/파일" dataDxfId="97"/>
    <x:tableColumn id="7" name="적용 범위" dataDxfId="96"/>
    <x:tableColumn id="8" name="비고" dataDxfId="95"/>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00380f89a81e4f38" /></Relationships>
</file>

<file path=xl/worksheets/_rels/sheet4.xml.rels>&#65279;<?xml version="1.0" encoding="utf-8"?><Relationships xmlns="http://schemas.openxmlformats.org/package/2006/relationships"><Relationship Type="http://schemas.openxmlformats.org/officeDocument/2006/relationships/table" Target="/xl/tables/table2.xml" Id="Ra2ed93b543cd4f7b" /></Relationships>
</file>

<file path=xl/worksheets/_rels/sheet6.xml.rels>&#65279;<?xml version="1.0" encoding="utf-8"?><Relationships xmlns="http://schemas.openxmlformats.org/package/2006/relationships"><Relationship Type="http://schemas.openxmlformats.org/officeDocument/2006/relationships/table" Target="/xl/tables/table3.xml" Id="R2e5d23144ca14b96" /></Relationships>
</file>

<file path=xl/worksheets/_rels/sheet7.xml.rels>&#65279;<?xml version="1.0" encoding="utf-8"?><Relationships xmlns="http://schemas.openxmlformats.org/package/2006/relationships"><Relationship Type="http://schemas.openxmlformats.org/officeDocument/2006/relationships/table" Target="/xl/tables/table4.xml" Id="R111f991cfb9d4e28" /></Relationships>
</file>

<file path=xl/worksheets/_rels/sheet8.xml.rels>&#65279;<?xml version="1.0" encoding="utf-8"?><Relationships xmlns="http://schemas.openxmlformats.org/package/2006/relationships"><Relationship Type="http://schemas.openxmlformats.org/officeDocument/2006/relationships/table" Target="/xl/tables/table5.xml" Id="Reaecb1e01c574d9d" /></Relationships>
</file>

<file path=xl/worksheets/_rels/sheet9.xml.rels>&#65279;<?xml version="1.0" encoding="utf-8"?><Relationships xmlns="http://schemas.openxmlformats.org/package/2006/relationships"><Relationship Type="http://schemas.openxmlformats.org/officeDocument/2006/relationships/table" Target="/xl/tables/table6.xml" Id="R71f6bd1d8efa4f17" /></Relationships>
</file>

<file path=xl/worksheets/_rels/sheet10.xml.rels>&#65279;<?xml version="1.0" encoding="utf-8"?><Relationships xmlns="http://schemas.openxmlformats.org/package/2006/relationships"><Relationship Type="http://schemas.openxmlformats.org/officeDocument/2006/relationships/table" Target="/xl/tables/table7.xml" Id="Rae9ef2caee864fbe" /></Relationships>
</file>

<file path=xl/worksheets/_rels/sheet11.xml.rels>&#65279;<?xml version="1.0" encoding="utf-8"?><Relationships xmlns="http://schemas.openxmlformats.org/package/2006/relationships"><Relationship Type="http://schemas.openxmlformats.org/officeDocument/2006/relationships/table" Target="/xl/tables/table8.xml" Id="Rc733ae481eda43dd" /></Relationships>
</file>

<file path=xl/worksheets/_rels/sheet12.xml.rels>&#65279;<?xml version="1.0" encoding="utf-8"?><Relationships xmlns="http://schemas.openxmlformats.org/package/2006/relationships"><Relationship Type="http://schemas.openxmlformats.org/officeDocument/2006/relationships/table" Target="/xl/tables/table9.xml" Id="R26c9c37b3c6441cb" /></Relationships>
</file>

<file path=xl/worksheets/_rels/sheet13.xml.rels>&#65279;<?xml version="1.0" encoding="utf-8"?><Relationships xmlns="http://schemas.openxmlformats.org/package/2006/relationships"><Relationship Type="http://schemas.openxmlformats.org/officeDocument/2006/relationships/table" Target="/xl/tables/table10.xml" Id="R622701772fee4300" /></Relationships>
</file>

<file path=xl/worksheets/_rels/sheet14.xml.rels>&#65279;<?xml version="1.0" encoding="utf-8"?><Relationships xmlns="http://schemas.openxmlformats.org/package/2006/relationships"><Relationship Type="http://schemas.openxmlformats.org/officeDocument/2006/relationships/table" Target="/xl/tables/table11.xml" Id="Re825777c93be4e27" /></Relationships>
</file>

<file path=xl/worksheets/_rels/sheet15.xml.rels>&#65279;<?xml version="1.0" encoding="utf-8"?><Relationships xmlns="http://schemas.openxmlformats.org/package/2006/relationships"><Relationship Type="http://schemas.openxmlformats.org/officeDocument/2006/relationships/table" Target="/xl/tables/table12.xml" Id="R6a6a4ce9081b4921" /></Relationships>
</file>

<file path=xl/worksheets/_rels/sheet16.xml.rels>&#65279;<?xml version="1.0" encoding="utf-8"?><Relationships xmlns="http://schemas.openxmlformats.org/package/2006/relationships"><Relationship Type="http://schemas.openxmlformats.org/officeDocument/2006/relationships/table" Target="/xl/tables/table13.xml" Id="R46084b3769844dda" /></Relationships>
</file>

<file path=xl/worksheets/_rels/sheet17.xml.rels>&#65279;<?xml version="1.0" encoding="utf-8"?><Relationships xmlns="http://schemas.openxmlformats.org/package/2006/relationships"><Relationship Type="http://schemas.openxmlformats.org/officeDocument/2006/relationships/table" Target="/xl/tables/table14.xml" Id="Rd17655aa90a64bc9" /></Relationships>
</file>

<file path=xl/worksheets/_rels/sheet18.xml.rels>&#65279;<?xml version="1.0" encoding="utf-8"?><Relationships xmlns="http://schemas.openxmlformats.org/package/2006/relationships"><Relationship Type="http://schemas.openxmlformats.org/officeDocument/2006/relationships/table" Target="/xl/tables/table15.xml" Id="Rc5555b2f3a174ef0" /></Relationships>
</file>

<file path=xl/worksheets/_rels/sheet22.xml.rels>&#65279;<?xml version="1.0" encoding="utf-8"?><Relationships xmlns="http://schemas.openxmlformats.org/package/2006/relationships"><Relationship Type="http://schemas.openxmlformats.org/officeDocument/2006/relationships/table" Target="/xl/tables/table16.xml" Id="R241aac154d964220" /></Relationships>
</file>

<file path=xl/worksheets/sheet1.xml><?xml version="1.0" encoding="utf-8"?>
<x:worksheet xmlns:x="http://schemas.openxmlformats.org/spreadsheetml/2006/main">
  <x:sheetFormatPr defaultColWidth="8.61328125" defaultRowHeight="15"/>
  <x:cols>
    <x:col min="1" max="1" width="170.69140625" style="46" customWidth="1"/>
    <x:col min="2" max="2" width="22.53515625" style="46" customWidth="1"/>
    <x:col min="3" max="3" width="30.84375" style="46" customWidth="1"/>
    <x:col min="4" max="4" width="18.61328125" style="46" customWidth="1"/>
    <x:col min="5" max="5" width="58.23046875" style="46" customWidth="1"/>
    <x:col min="6" max="6" width="23.07421875" style="46" customWidth="1"/>
    <x:col min="7" max="7" width="17.921875" style="46" customWidth="1"/>
    <x:col min="8" max="8" width="6.84375" style="46" customWidth="1"/>
    <x:col min="9" max="9" width="20.61328125" style="46" customWidth="1"/>
    <x:col min="10" max="10" width="23.921875" style="46" customWidth="1"/>
    <x:col min="11" max="11" width="8.61328125" style="46" customWidth="1"/>
    <x:col min="12" max="16384" width="8.61328125" style="46" customWidth="0"/>
  </x:cols>
  <x:sheetData>
    <x:row r="1">
      <x:c r="A1" s="7" t="s">
        <x:v>0</x:v>
      </x:c>
      <x:c r="B1" s="123"/>
      <x:c r="C1" s="123"/>
      <x:c r="D1" s="123"/>
      <x:c r="E1" s="123"/>
      <x:c r="F1" s="123"/>
      <x:c r="G1" s="123"/>
      <x:c r="H1" s="123"/>
      <x:c r="I1" s="123"/>
      <x:c r="J1" s="123"/>
    </x:row>
    <x:row r="2">
      <x:c r="A2" s="123"/>
      <x:c r="B2" s="123"/>
      <x:c r="C2" s="123"/>
      <x:c r="D2" s="123"/>
      <x:c r="E2" s="123"/>
      <x:c r="F2" s="123"/>
      <x:c r="G2" s="123"/>
      <x:c r="H2" s="123"/>
      <x:c r="I2" s="123"/>
      <x:c r="J2" s="123"/>
    </x:row>
    <x:row r="3" ht="15.449999809265137">
      <x:c r="A3" s="128" t="s">
        <x:v>1</x:v>
      </x:c>
      <x:c r="B3" s="123"/>
      <x:c r="C3" s="123"/>
      <x:c r="D3" s="123"/>
      <x:c r="E3" s="123"/>
      <x:c r="F3" s="123"/>
      <x:c r="G3" s="123"/>
      <x:c r="H3" s="123"/>
      <x:c r="I3" s="123"/>
      <x:c r="J3" s="123"/>
    </x:row>
    <x:row r="5" ht="15.449999809265137">
      <x:c r="A5" s="37" t="s">
        <x:v>2</x:v>
      </x:c>
      <x:c r="B5" s="47"/>
      <x:c r="C5" s="47"/>
    </x:row>
    <x:row r="6" ht="15.449999809265137">
      <x:c r="A6" s="48" t="s">
        <x:v>3</x:v>
      </x:c>
      <x:c r="B6" s="48" t="s">
        <x:v>4</x:v>
      </x:c>
      <x:c r="C6" s="127" t="s">
        <x:v>5</x:v>
      </x:c>
      <x:c r="D6" s="123"/>
      <x:c r="E6" s="123"/>
      <x:c r="F6" s="123"/>
    </x:row>
    <x:row r="7" ht="31" customHeight="1">
      <x:c r="A7" s="49">
        <x:v>1</x:v>
      </x:c>
      <x:c r="B7" s="50" t="s">
        <x:v>6</x:v>
      </x:c>
      <x:c r="C7" s="124" t="s">
        <x:v>7</x:v>
      </x:c>
      <x:c r="D7" s="123"/>
      <x:c r="E7" s="123"/>
      <x:c r="F7" s="123"/>
    </x:row>
    <x:row r="8" ht="77.5" customHeight="1">
      <x:c r="A8" s="49">
        <x:v>2</x:v>
      </x:c>
      <x:c r="B8" s="50" t="s">
        <x:v>8</x:v>
      </x:c>
      <x:c r="C8" s="124" t="s">
        <x:v>9</x:v>
      </x:c>
      <x:c r="D8" s="123"/>
      <x:c r="E8" s="123"/>
      <x:c r="F8" s="123"/>
    </x:row>
    <x:row r="9">
      <x:c r="A9" s="49">
        <x:v>3</x:v>
      </x:c>
      <x:c r="B9" s="50" t="s">
        <x:v>10</x:v>
      </x:c>
      <x:c r="C9" s="124" t="s">
        <x:v>11</x:v>
      </x:c>
      <x:c r="D9" s="123"/>
      <x:c r="E9" s="123"/>
      <x:c r="F9" s="123"/>
    </x:row>
    <x:row r="10">
      <x:c r="A10" s="49">
        <x:v>4</x:v>
      </x:c>
      <x:c r="B10" s="50" t="s">
        <x:v>12</x:v>
      </x:c>
      <x:c r="C10" s="124" t="s">
        <x:v>13</x:v>
      </x:c>
      <x:c r="D10" s="123"/>
      <x:c r="E10" s="123"/>
      <x:c r="F10" s="123"/>
    </x:row>
    <x:row r="11" ht="108.55000305175781" customHeight="1">
      <x:c r="A11" s="51" t="s">
        <x:v>14</x:v>
      </x:c>
      <x:c r="B11" s="52" t="s">
        <x:v>15</x:v>
      </x:c>
      <x:c r="C11" s="130" t="s">
        <x:v>16</x:v>
      </x:c>
      <x:c r="D11" s="123"/>
      <x:c r="E11" s="123"/>
      <x:c r="F11" s="123"/>
    </x:row>
    <x:row r="12" ht="46.5" customHeight="1">
      <x:c r="A12" s="51" t="s">
        <x:v>17</x:v>
      </x:c>
      <x:c r="B12" s="52" t="s">
        <x:v>18</x:v>
      </x:c>
      <x:c r="C12" s="130" t="s">
        <x:v>19</x:v>
      </x:c>
      <x:c r="D12" s="123"/>
      <x:c r="E12" s="123"/>
      <x:c r="F12" s="123"/>
    </x:row>
    <x:row r="13">
      <x:c r="A13" s="53" t="s">
        <x:v>20</x:v>
      </x:c>
      <x:c r="B13" s="47"/>
      <x:c r="C13" s="47"/>
    </x:row>
    <x:row r="15" ht="33" customHeight="1">
      <x:c r="A15" s="54" t="s">
        <x:v>21</x:v>
      </x:c>
      <x:c r="B15" s="55" t="s">
        <x:v>22</x:v>
      </x:c>
      <x:c r="D15" s="56" t="s">
        <x:v>23</x:v>
      </x:c>
      <x:c r="E15" s="55" t="s">
        <x:v>24</x:v>
      </x:c>
      <x:c r="G15" s="126" t="s">
        <x:v>25</x:v>
      </x:c>
      <x:c r="H15" s="123"/>
      <x:c r="I15" s="123"/>
      <x:c r="J15" s="123"/>
    </x:row>
    <x:row r="16" ht="46.5" customHeight="1">
      <x:c r="A16" s="57" t="s">
        <x:v>26</x:v>
      </x:c>
      <x:c r="B16" s="55" t="str">
        <x:v>v3.0 (2026-10-27)</x:v>
      </x:c>
      <x:c r="D16" s="56" t="s">
        <x:v>27</x:v>
      </x:c>
      <x:c r="E16" s="55" t="s">
        <x:v>28</x:v>
      </x:c>
      <x:c r="G16" s="57" t="s">
        <x:v>29</x:v>
      </x:c>
      <x:c r="H16" s="58" t="n">
        <x:f>COUNTA('01_요구사항_마스터'!$C$2:$C$200)</x:f>
        <x:v>178</x:v>
      </x:c>
      <x:c r="I16" s="57" t="s">
        <x:v>30</x:v>
      </x:c>
      <x:c r="J16" s="59" t="n">
        <x:f>COUNTIF('01_요구사항_마스터'!$K$2:$K$200,"승인")</x:f>
        <x:v>156</x:v>
      </x:c>
    </x:row>
    <x:row r="17" ht="31.75">
      <x:c r="A17" s="57" t="s">
        <x:v>31</x:v>
      </x:c>
      <x:c r="B17" s="60">
        <x:v>46238</x:v>
      </x:c>
      <x:c r="D17" s="57" t="s">
        <x:v>32</x:v>
      </x:c>
      <x:c r="E17" s="55" t="s">
        <x:v>33</x:v>
      </x:c>
      <x:c r="G17" s="56" t="s">
        <x:v>34</x:v>
      </x:c>
      <x:c r="H17" s="58" t="n">
        <x:f>COUNTIF('01_요구사항_마스터'!$G$2:$G$200,"M")</x:f>
        <x:v>134</x:v>
      </x:c>
      <x:c r="I17" s="57" t="s">
        <x:v>35</x:v>
      </x:c>
      <x:c r="J17" s="59" t="n">
        <x:f>COUNTIF('01_요구사항_마스터'!$I$2:$I$200,"기능")</x:f>
        <x:v>82</x:v>
      </x:c>
    </x:row>
    <x:row r="18" ht="15.899999618530273">
      <x:c r="A18" s="57" t="s">
        <x:v>36</x:v>
      </x:c>
      <x:c r="B18" s="61" t="s">
        <x:v>37</x:v>
      </x:c>
      <x:c r="D18" s="57" t="s">
        <x:v>38</x:v>
      </x:c>
      <x:c r="E18" s="55" t="s">
        <x:v>39</x:v>
      </x:c>
      <x:c r="G18" s="56" t="s">
        <x:v>40</x:v>
      </x:c>
      <x:c r="H18" s="58" t="n">
        <x:f>COUNTIF('01_요구사항_마스터'!$E$2:$E$200,"1차")</x:f>
        <x:v>42</x:v>
      </x:c>
      <x:c r="I18" s="57" t="s">
        <x:v>41</x:v>
      </x:c>
      <x:c r="J18" s="59" t="n">
        <x:f>COUNTIF('01_요구사항_마스터'!$I$2:$I$200,"비기능")</x:f>
        <x:v>78</x:v>
      </x:c>
    </x:row>
    <x:row r="19" ht="15.899999618530273">
      <x:c r="A19" s="57" t="s">
        <x:v>42</x:v>
      </x:c>
      <x:c r="B19" s="55" t="s">
        <x:v>43</x:v>
      </x:c>
      <x:c r="D19" s="57" t="s">
        <x:v>44</x:v>
      </x:c>
      <x:c r="E19" s="55" t="s">
        <x:v>45</x:v>
      </x:c>
      <x:c r="G19" s="56" t="s">
        <x:v>46</x:v>
      </x:c>
      <x:c r="H19" s="58" t="n">
        <x:f>COUNTIF('01_요구사항_마스터'!$E$2:$E$200,"2차")</x:f>
        <x:v>71</x:v>
      </x:c>
      <x:c r="I19" s="57" t="s">
        <x:v>47</x:v>
      </x:c>
      <x:c r="J19" s="59" t="n">
        <x:f>COUNTIF('01_요구사항_마스터'!$I$2:$I$200,"관리")</x:f>
        <x:v>18</x:v>
      </x:c>
    </x:row>
    <x:row r="20" ht="31" customHeight="1">
      <x:c r="A20" s="56" t="s">
        <x:v>48</x:v>
      </x:c>
      <x:c r="B20" s="55" t="s">
        <x:v>49</x:v>
      </x:c>
      <x:c r="D20" s="57" t="s">
        <x:v>50</x:v>
      </x:c>
      <x:c r="E20" s="55" t="s">
        <x:v>51</x:v>
      </x:c>
      <x:c r="G20" s="57" t="s">
        <x:v>52</x:v>
      </x:c>
      <x:c r="H20" s="58" t="n">
        <x:f>COUNTA('02_확정_결정사항'!$A$2:$A$100)</x:f>
        <x:v>25</x:v>
      </x:c>
      <x:c r="I20" s="57" t="s">
        <x:v>53</x:v>
      </x:c>
      <x:c r="J20" s="59" t="n">
        <x:f>COUNTA('99_근거자료'!$A$2:$A$100)</x:f>
        <x:v>34</x:v>
      </x:c>
    </x:row>
    <x:row r="21" ht="31" customHeight="1">
      <x:c r="A21" s="56" t="s">
        <x:v>54</x:v>
      </x:c>
      <x:c r="B21" s="55" t="s">
        <x:v>55</x:v>
      </x:c>
      <x:c r="D21" s="57" t="s">
        <x:v>56</x:v>
      </x:c>
      <x:c r="E21" s="61" t="s">
        <x:v>57</x:v>
      </x:c>
    </x:row>
    <x:row r="23" ht="15.449999809265137">
      <x:c r="A23" s="126" t="s">
        <x:v>58</x:v>
      </x:c>
      <x:c r="B23" s="123"/>
      <x:c r="C23" s="123"/>
      <x:c r="D23" s="123"/>
      <x:c r="E23" s="123"/>
      <x:c r="F23" s="123"/>
      <x:c r="H23" s="126" t="s">
        <x:v>59</x:v>
      </x:c>
      <x:c r="I23" s="123"/>
      <x:c r="J23" s="123"/>
    </x:row>
    <x:row r="24" ht="15.449999809265137">
      <x:c r="A24" s="62" t="s">
        <x:v>60</x:v>
      </x:c>
      <x:c r="B24" s="62" t="s">
        <x:v>61</x:v>
      </x:c>
      <x:c r="C24" s="62" t="s">
        <x:v>62</x:v>
      </x:c>
      <x:c r="D24" s="62" t="s">
        <x:v>63</x:v>
      </x:c>
      <x:c r="E24" s="62" t="s">
        <x:v>64</x:v>
      </x:c>
      <x:c r="F24" s="62" t="s">
        <x:v>65</x:v>
      </x:c>
      <x:c r="H24" s="62" t="s">
        <x:v>66</x:v>
      </x:c>
      <x:c r="I24" s="62" t="s">
        <x:v>67</x:v>
      </x:c>
      <x:c r="J24" s="62" t="s">
        <x:v>68</x:v>
      </x:c>
    </x:row>
    <x:row r="25" ht="93" customHeight="1">
      <x:c r="A25" s="63" t="s">
        <x:v>69</x:v>
      </x:c>
      <x:c r="B25" s="64" t="s">
        <x:v>70</x:v>
      </x:c>
      <x:c r="C25" s="64" t="s">
        <x:v>71</x:v>
      </x:c>
      <x:c r="D25" s="63" t="s">
        <x:v>24</x:v>
      </x:c>
      <x:c r="E25" s="63" t="s">
        <x:v>72</x:v>
      </x:c>
      <x:c r="F25" s="63" t="s">
        <x:v>73</x:v>
      </x:c>
      <x:c r="H25" s="65" t="s">
        <x:v>74</x:v>
      </x:c>
      <x:c r="I25" s="65" t="s">
        <x:v>75</x:v>
      </x:c>
      <x:c r="J25" s="66" t="s">
        <x:v>76</x:v>
      </x:c>
    </x:row>
    <x:row r="26" ht="93" customHeight="1">
      <x:c r="A26" s="67" t="s">
        <x:v>77</x:v>
      </x:c>
      <x:c r="B26" s="68" t="s">
        <x:v>78</x:v>
      </x:c>
      <x:c r="C26" s="67" t="s">
        <x:v>79</x:v>
      </x:c>
      <x:c r="D26" s="67" t="s">
        <x:v>80</x:v>
      </x:c>
      <x:c r="E26" s="67" t="s">
        <x:v>81</x:v>
      </x:c>
      <x:c r="F26" s="67" t="s">
        <x:v>82</x:v>
      </x:c>
      <x:c r="H26" s="69" t="s">
        <x:v>83</x:v>
      </x:c>
      <x:c r="I26" s="69" t="s">
        <x:v>84</x:v>
      </x:c>
      <x:c r="J26" s="70" t="s">
        <x:v>85</x:v>
      </x:c>
    </x:row>
    <x:row r="27" ht="31" customHeight="1">
      <x:c r="A27" s="71" t="s">
        <x:v>86</x:v>
      </x:c>
      <x:c r="B27" s="71" t="s">
        <x:v>87</x:v>
      </x:c>
      <x:c r="C27" s="71" t="s">
        <x:v>88</x:v>
      </x:c>
      <x:c r="D27" s="72" t="s">
        <x:v>89</x:v>
      </x:c>
      <x:c r="E27" s="71" t="s">
        <x:v>90</x:v>
      </x:c>
      <x:c r="F27" s="71" t="s">
        <x:v>91</x:v>
      </x:c>
      <x:c r="H27" s="67" t="s">
        <x:v>92</x:v>
      </x:c>
      <x:c r="I27" s="67" t="s">
        <x:v>93</x:v>
      </x:c>
      <x:c r="J27" s="68" t="s">
        <x:v>94</x:v>
      </x:c>
    </x:row>
    <x:row r="28" ht="15.899999618530273">
      <x:c r="H28" s="73" t="s">
        <x:v>95</x:v>
      </x:c>
      <x:c r="I28" s="73" t="s">
        <x:v>96</x:v>
      </x:c>
      <x:c r="J28" s="74" t="s">
        <x:v>97</x:v>
      </x:c>
    </x:row>
    <x:row r="29" ht="15.449999809265137">
      <x:c r="A29" s="126" t="s">
        <x:v>98</x:v>
      </x:c>
      <x:c r="B29" s="123"/>
      <x:c r="C29" s="123"/>
      <x:c r="E29" s="126" t="s">
        <x:v>99</x:v>
      </x:c>
      <x:c r="F29" s="123"/>
      <x:c r="G29" s="123"/>
      <x:c r="H29" s="123"/>
      <x:c r="I29" s="123"/>
      <x:c r="J29" s="123"/>
    </x:row>
    <x:row r="30" ht="15.449999809265137">
      <x:c r="A30" s="62" t="s">
        <x:v>100</x:v>
      </x:c>
      <x:c r="B30" s="62" t="s">
        <x:v>101</x:v>
      </x:c>
      <x:c r="C30" s="62" t="s">
        <x:v>102</x:v>
      </x:c>
      <x:c r="E30" s="62" t="s">
        <x:v>60</x:v>
      </x:c>
      <x:c r="F30" s="62" t="s">
        <x:v>103</x:v>
      </x:c>
      <x:c r="G30" s="62"/>
      <x:c r="H30" s="62"/>
      <x:c r="I30" s="62"/>
      <x:c r="J30" s="62"/>
    </x:row>
    <x:row r="31" ht="15.899999618530273">
      <x:c r="A31" s="75" t="s">
        <x:v>104</x:v>
      </x:c>
      <x:c r="B31" s="75" t="n">
        <x:f>COUNTIF('01_요구사항_마스터'!$B$2:$B$200,A31)</x:f>
        <x:v>82</x:v>
      </x:c>
      <x:c r="C31" s="76" t="s">
        <x:v>105</x:v>
      </x:c>
      <x:c r="E31" s="57" t="s">
        <x:v>106</x:v>
      </x:c>
      <x:c r="F31" s="125" t="s">
        <x:v>107</x:v>
      </x:c>
      <x:c r="G31" s="123"/>
      <x:c r="H31" s="123"/>
      <x:c r="I31" s="123"/>
      <x:c r="J31" s="123"/>
    </x:row>
    <x:row r="32" ht="15.899999618530273">
      <x:c r="A32" s="75" t="s">
        <x:v>108</x:v>
      </x:c>
      <x:c r="B32" s="76" t="n">
        <x:f>COUNTIF('01_요구사항_마스터'!$B$2:$B$200,A32)</x:f>
        <x:v>7</x:v>
      </x:c>
      <x:c r="C32" s="76" t="s">
        <x:v>109</x:v>
      </x:c>
      <x:c r="E32" s="57" t="s">
        <x:v>110</x:v>
      </x:c>
      <x:c r="F32" s="125" t="s">
        <x:v>111</x:v>
      </x:c>
      <x:c r="G32" s="123"/>
      <x:c r="H32" s="123"/>
      <x:c r="I32" s="123"/>
      <x:c r="J32" s="123"/>
    </x:row>
    <x:row r="33" ht="15.899999618530273">
      <x:c r="A33" s="75" t="s">
        <x:v>112</x:v>
      </x:c>
      <x:c r="B33" s="76" t="n">
        <x:f>COUNTIF('01_요구사항_마스터'!$B$2:$B$200,A33)</x:f>
        <x:v>7</x:v>
      </x:c>
      <x:c r="C33" s="76" t="s">
        <x:v>105</x:v>
      </x:c>
      <x:c r="E33" s="57" t="s">
        <x:v>113</x:v>
      </x:c>
      <x:c r="F33" s="125" t="s">
        <x:v>114</x:v>
      </x:c>
      <x:c r="G33" s="123"/>
      <x:c r="H33" s="123"/>
      <x:c r="I33" s="123"/>
      <x:c r="J33" s="123"/>
    </x:row>
    <x:row r="34" ht="15.899999618530273">
      <x:c r="A34" s="75" t="s">
        <x:v>113</x:v>
      </x:c>
      <x:c r="B34" s="76" t="n">
        <x:f>COUNTIF('01_요구사항_마스터'!$B$2:$B$200,A34)</x:f>
        <x:v>11</x:v>
      </x:c>
      <x:c r="C34" s="76" t="s">
        <x:v>115</x:v>
      </x:c>
      <x:c r="E34" s="57" t="s">
        <x:v>116</x:v>
      </x:c>
      <x:c r="F34" s="125" t="s">
        <x:v>117</x:v>
      </x:c>
      <x:c r="G34" s="123"/>
      <x:c r="H34" s="123"/>
      <x:c r="I34" s="123"/>
      <x:c r="J34" s="123"/>
    </x:row>
    <x:row r="35" ht="15.899999618530273">
      <x:c r="A35" s="75" t="s">
        <x:v>118</x:v>
      </x:c>
      <x:c r="B35" s="76" t="n">
        <x:f>COUNTIF('01_요구사항_마스터'!$B$2:$B$200,A35)</x:f>
        <x:v>7</x:v>
      </x:c>
      <x:c r="C35" s="76" t="s">
        <x:v>119</x:v>
      </x:c>
      <x:c r="E35" s="56" t="s">
        <x:v>120</x:v>
      </x:c>
      <x:c r="F35" s="125" t="s">
        <x:v>121</x:v>
      </x:c>
      <x:c r="G35" s="123"/>
      <x:c r="H35" s="123"/>
      <x:c r="I35" s="123"/>
      <x:c r="J35" s="123"/>
    </x:row>
    <x:row r="36" ht="15.899999618530273">
      <x:c r="A36" s="75" t="s">
        <x:v>122</x:v>
      </x:c>
      <x:c r="B36" s="76" t="n">
        <x:f>COUNTIF('01_요구사항_마스터'!$B$2:$B$200,A36)</x:f>
        <x:v>11</x:v>
      </x:c>
      <x:c r="C36" s="76" t="s">
        <x:v>123</x:v>
      </x:c>
      <x:c r="E36" s="57" t="s">
        <x:v>124</x:v>
      </x:c>
      <x:c r="F36" s="131" t="s">
        <x:v>125</x:v>
      </x:c>
      <x:c r="G36" s="123"/>
      <x:c r="H36" s="123"/>
      <x:c r="I36" s="123"/>
      <x:c r="J36" s="123"/>
    </x:row>
    <x:row r="37" ht="15.899999618530273">
      <x:c r="A37" s="75" t="s">
        <x:v>126</x:v>
      </x:c>
      <x:c r="B37" s="76" t="n">
        <x:f>COUNTIF('01_요구사항_마스터'!$B$2:$B$200,A37)</x:f>
        <x:v>13</x:v>
      </x:c>
      <x:c r="C37" s="76" t="s">
        <x:v>127</x:v>
      </x:c>
      <x:c r="E37" s="56" t="s">
        <x:v>128</x:v>
      </x:c>
      <x:c r="F37" s="125" t="s">
        <x:v>129</x:v>
      </x:c>
      <x:c r="G37" s="123"/>
      <x:c r="H37" s="123"/>
      <x:c r="I37" s="123"/>
      <x:c r="J37" s="123"/>
    </x:row>
    <x:row r="38" ht="15.899999618530273">
      <x:c r="A38" s="75" t="s">
        <x:v>130</x:v>
      </x:c>
      <x:c r="B38" s="76" t="n">
        <x:f>COUNTIF('01_요구사항_마스터'!$B$2:$B$200,A38)</x:f>
        <x:v>8</x:v>
      </x:c>
      <x:c r="C38" s="76" t="s">
        <x:v>131</x:v>
      </x:c>
    </x:row>
    <x:row r="39" ht="15.899999618530273">
      <x:c r="A39" s="75" t="s">
        <x:v>132</x:v>
      </x:c>
      <x:c r="B39" s="76" t="n">
        <x:f>COUNTIF('01_요구사항_마스터'!$B$2:$B$200,A39)</x:f>
        <x:v>10</x:v>
      </x:c>
      <x:c r="C39" s="76" t="s">
        <x:v>133</x:v>
      </x:c>
    </x:row>
    <x:row r="40" ht="15.899999618530273">
      <x:c r="A40" s="75" t="s">
        <x:v>134</x:v>
      </x:c>
      <x:c r="B40" s="76" t="n">
        <x:f>COUNTIF('01_요구사항_마스터'!$B$2:$B$200,A40)</x:f>
        <x:v>4</x:v>
      </x:c>
      <x:c r="C40" s="76" t="s">
        <x:v>135</x:v>
      </x:c>
    </x:row>
    <x:row r="41" ht="15.899999618530273">
      <x:c r="A41" s="75" t="s">
        <x:v>136</x:v>
      </x:c>
      <x:c r="B41" s="76" t="n">
        <x:f>COUNTIF('01_요구사항_마스터'!$B$2:$B$200,A41)</x:f>
        <x:v>12</x:v>
      </x:c>
      <x:c r="C41" s="76" t="s">
        <x:v>137</x:v>
      </x:c>
    </x:row>
    <x:row r="42" ht="15.899999618530273">
      <x:c r="A42" s="75" t="s">
        <x:v>138</x:v>
      </x:c>
      <x:c r="B42" s="76">
        <x:v>6</x:v>
      </x:c>
      <x:c r="C42" s="76" t="s">
        <x:v>139</x:v>
      </x:c>
    </x:row>
    <x:row r="45">
      <x:c r="A45" s="129" t="s">
        <x:v>140</x:v>
      </x:c>
      <x:c r="B45" s="123"/>
      <x:c r="C45" s="123"/>
      <x:c r="D45" s="123"/>
      <x:c r="E45" s="123"/>
      <x:c r="F45" s="123"/>
      <x:c r="G45" s="123"/>
      <x:c r="H45" s="123"/>
      <x:c r="I45" s="123"/>
      <x:c r="J45" s="123"/>
    </x:row>
  </x:sheetData>
  <x:mergeCells>
    <x:mergeCell ref="A45:J45"/>
    <x:mergeCell ref="H23:J23"/>
    <x:mergeCell ref="F31:J31"/>
    <x:mergeCell ref="C10:F10"/>
    <x:mergeCell ref="C9:F9"/>
    <x:mergeCell ref="F37:J37"/>
    <x:mergeCell ref="C12:F12"/>
    <x:mergeCell ref="G15:J15"/>
    <x:mergeCell ref="C11:F11"/>
    <x:mergeCell ref="E29:J29"/>
    <x:mergeCell ref="F36:J36"/>
    <x:mergeCell ref="F33:J33"/>
    <x:mergeCell ref="A29:C29"/>
    <x:mergeCell ref="F35:J35"/>
    <x:mergeCell ref="F32:J32"/>
    <x:mergeCell ref="A1:J2"/>
    <x:mergeCell ref="C8:F8"/>
    <x:mergeCell ref="F34:J34"/>
    <x:mergeCell ref="C7:F7"/>
    <x:mergeCell ref="A23:F23"/>
    <x:mergeCell ref="C6:F6"/>
    <x:mergeCell ref="A3:J3"/>
  </x:mergeCells>
  <x:pageMargins left="0.7" right="0.7" top="0.75" bottom="0.75" header="0.3" footer="0.3"/>
</x:worksheet>
</file>

<file path=xl/worksheets/sheet2.xml><?xml version="1.0" encoding="utf-8"?>
<x:worksheet xmlns:x="http://schemas.openxmlformats.org/spreadsheetml/2006/main">
  <x:sheetViews>
    <x:sheetView workbookViewId="0">
      <x:pane ySplit="3" topLeftCell="A4" activePane="bottomLeft" state="frozen"/>
    </x:sheetView>
  </x:sheetViews>
  <x:sheetFormatPr defaultRowHeight="12.449999809265137"/>
  <x:cols>
    <x:col min="1" max="1" width="18" customWidth="1"/>
    <x:col min="2" max="2" width="15" customWidth="1"/>
    <x:col min="3" max="3" width="28" customWidth="1"/>
    <x:col min="4" max="4" width="30" customWidth="1"/>
    <x:col min="5" max="5" width="34" customWidth="1"/>
    <x:col min="6" max="6" width="30" customWidth="1"/>
    <x:col min="7" max="7" width="32" customWidth="1"/>
    <x:col min="8" max="8" width="34" customWidth="1"/>
  </x:cols>
  <x:sheetData>
    <x:row r="1" ht="20.049999237060547" customHeight="1">
      <x:c r="A1" s="133" t="s">
        <x:v>141</x:v>
      </x:c>
      <x:c r="B1" s="132"/>
      <x:c r="C1" s="132"/>
      <x:c r="D1" s="132"/>
      <x:c r="E1" s="132"/>
      <x:c r="F1" s="132"/>
      <x:c r="G1" s="132"/>
      <x:c r="H1" s="132"/>
    </x:row>
    <x:row r="3" ht="15.550000190734863" customHeight="1">
      <x:c r="A3" s="27" t="s">
        <x:v>142</x:v>
      </x:c>
      <x:c r="B3" s="27" t="s">
        <x:v>143</x:v>
      </x:c>
      <x:c r="C3" s="27" t="s">
        <x:v>61</x:v>
      </x:c>
      <x:c r="D3" s="27" t="s">
        <x:v>144</x:v>
      </x:c>
      <x:c r="E3" s="27" t="s">
        <x:v>145</x:v>
      </x:c>
      <x:c r="F3" s="27" t="s">
        <x:v>146</x:v>
      </x:c>
      <x:c r="G3" s="27" t="s">
        <x:v>147</x:v>
      </x:c>
      <x:c r="H3" s="27" t="s">
        <x:v>148</x:v>
      </x:c>
    </x:row>
    <x:row r="4" ht="25" customHeight="1">
      <x:c r="A4" s="28" t="s">
        <x:v>149</x:v>
      </x:c>
      <x:c r="B4" s="28" t="s">
        <x:v>150</x:v>
      </x:c>
      <x:c r="C4" s="28" t="s">
        <x:v>151</x:v>
      </x:c>
      <x:c r="D4" s="28" t="s">
        <x:v>152</x:v>
      </x:c>
      <x:c r="E4" s="28" t="s">
        <x:v>153</x:v>
      </x:c>
      <x:c r="F4" s="28" t="s">
        <x:v>154</x:v>
      </x:c>
      <x:c r="G4" s="28" t="s">
        <x:v>155</x:v>
      </x:c>
      <x:c r="H4" s="28" t="s">
        <x:v>156</x:v>
      </x:c>
    </x:row>
    <x:row r="5" ht="25" customHeight="1">
      <x:c r="A5" s="28" t="s">
        <x:v>157</x:v>
      </x:c>
      <x:c r="B5" s="28" t="s">
        <x:v>158</x:v>
      </x:c>
      <x:c r="C5" s="28" t="s">
        <x:v>159</x:v>
      </x:c>
      <x:c r="D5" s="28" t="s">
        <x:v>160</x:v>
      </x:c>
      <x:c r="E5" s="28" t="s">
        <x:v>161</x:v>
      </x:c>
      <x:c r="F5" s="28" t="s">
        <x:v>162</x:v>
      </x:c>
      <x:c r="G5" s="28" t="s">
        <x:v>163</x:v>
      </x:c>
      <x:c r="H5" s="28" t="s">
        <x:v>164</x:v>
      </x:c>
    </x:row>
    <x:row r="6" ht="25" customHeight="1">
      <x:c r="A6" s="28" t="s">
        <x:v>165</x:v>
      </x:c>
      <x:c r="B6" s="28" t="s">
        <x:v>166</x:v>
      </x:c>
      <x:c r="C6" s="28" t="s">
        <x:v>167</x:v>
      </x:c>
      <x:c r="D6" s="28" t="s">
        <x:v>168</x:v>
      </x:c>
      <x:c r="E6" s="28" t="s">
        <x:v>169</x:v>
      </x:c>
      <x:c r="F6" s="28" t="s">
        <x:v>170</x:v>
      </x:c>
      <x:c r="G6" s="28" t="s">
        <x:v>171</x:v>
      </x:c>
      <x:c r="H6" s="28" t="s">
        <x:v>172</x:v>
      </x:c>
    </x:row>
    <x:row r="7" ht="25" customHeight="1">
      <x:c r="A7" s="28" t="s">
        <x:v>173</x:v>
      </x:c>
      <x:c r="B7" s="28" t="s">
        <x:v>174</x:v>
      </x:c>
      <x:c r="C7" s="28" t="s">
        <x:v>175</x:v>
      </x:c>
      <x:c r="D7" s="28" t="s">
        <x:v>176</x:v>
      </x:c>
      <x:c r="E7" s="28" t="s">
        <x:v>177</x:v>
      </x:c>
      <x:c r="F7" s="28" t="s">
        <x:v>178</x:v>
      </x:c>
      <x:c r="G7" s="28" t="s">
        <x:v>179</x:v>
      </x:c>
      <x:c r="H7" s="28" t="s">
        <x:v>180</x:v>
      </x:c>
    </x:row>
    <x:row r="8" ht="25" customHeight="1">
      <x:c r="A8" s="28" t="s">
        <x:v>181</x:v>
      </x:c>
      <x:c r="B8" s="28" t="s">
        <x:v>182</x:v>
      </x:c>
      <x:c r="C8" s="28" t="s">
        <x:v>183</x:v>
      </x:c>
      <x:c r="D8" s="28" t="s">
        <x:v>184</x:v>
      </x:c>
      <x:c r="E8" s="28" t="s">
        <x:v>185</x:v>
      </x:c>
      <x:c r="F8" s="28" t="s">
        <x:v>186</x:v>
      </x:c>
      <x:c r="G8" s="28" t="s">
        <x:v>187</x:v>
      </x:c>
      <x:c r="H8" s="28" t="s">
        <x:v>188</x:v>
      </x:c>
    </x:row>
    <x:row r="9" ht="25" customHeight="1">
      <x:c r="A9" s="28" t="s">
        <x:v>189</x:v>
      </x:c>
      <x:c r="B9" s="28" t="s">
        <x:v>190</x:v>
      </x:c>
      <x:c r="C9" s="28" t="s">
        <x:v>191</x:v>
      </x:c>
      <x:c r="D9" s="28" t="s">
        <x:v>192</x:v>
      </x:c>
      <x:c r="E9" s="28" t="s">
        <x:v>193</x:v>
      </x:c>
      <x:c r="F9" s="28" t="s">
        <x:v>194</x:v>
      </x:c>
      <x:c r="G9" s="28" t="s">
        <x:v>195</x:v>
      </x:c>
      <x:c r="H9" s="28" t="s">
        <x:v>196</x:v>
      </x:c>
    </x:row>
    <x:row r="10" ht="25" customHeight="1">
      <x:c r="A10" s="28" t="s">
        <x:v>197</x:v>
      </x:c>
      <x:c r="B10" s="28" t="s">
        <x:v>198</x:v>
      </x:c>
      <x:c r="C10" s="28" t="s">
        <x:v>199</x:v>
      </x:c>
      <x:c r="D10" s="28" t="s">
        <x:v>200</x:v>
      </x:c>
      <x:c r="E10" s="28" t="s">
        <x:v>201</x:v>
      </x:c>
      <x:c r="F10" s="28" t="s">
        <x:v>202</x:v>
      </x:c>
      <x:c r="G10" s="28" t="s">
        <x:v>203</x:v>
      </x:c>
      <x:c r="H10" s="28" t="s">
        <x:v>204</x:v>
      </x:c>
    </x:row>
    <x:row r="11">
      <x:c r="A11" s="28" t="s">
        <x:v>205</x:v>
      </x:c>
      <x:c r="B11" s="28" t="s">
        <x:v>206</x:v>
      </x:c>
      <x:c r="C11" s="28" t="s">
        <x:v>207</x:v>
      </x:c>
      <x:c r="D11" s="28" t="s">
        <x:v>208</x:v>
      </x:c>
      <x:c r="E11" s="28" t="s">
        <x:v>209</x:v>
      </x:c>
      <x:c r="F11" s="28" t="s">
        <x:v>210</x:v>
      </x:c>
      <x:c r="G11" s="28" t="s">
        <x:v>211</x:v>
      </x:c>
      <x:c r="H11" s="28" t="s">
        <x:v>212</x:v>
      </x:c>
    </x:row>
    <x:row r="13" ht="13" customHeight="1">
      <x:c r="A13" s="129" t="s">
        <x:v>213</x:v>
      </x:c>
      <x:c r="B13" s="132"/>
      <x:c r="C13" s="132"/>
      <x:c r="D13" s="132"/>
      <x:c r="E13" s="132"/>
      <x:c r="F13" s="132"/>
      <x:c r="G13" s="132"/>
      <x:c r="H13" s="132"/>
    </x:row>
  </x:sheetData>
  <x:mergeCells>
    <x:mergeCell ref="A13:H13"/>
    <x:mergeCell ref="A1:H1"/>
  </x:mergeCells>
  <x:pageMargins left="0.7" right="0.7" top="0.75" bottom="0.75" header="0.3" footer="0.3"/>
</x:worksheet>
</file>

<file path=xl/worksheets/sheet3.xml><?xml version="1.0" encoding="utf-8"?>
<x:worksheet xmlns:x="http://schemas.openxmlformats.org/spreadsheetml/2006/main">
  <x:sheetViews>
    <x:sheetView workbookViewId="0">
      <x:pane xSplit="3" ySplit="1" topLeftCell="D2" activePane="bottomRight" state="frozen"/>
    </x:sheetView>
  </x:sheetViews>
  <x:sheetFormatPr defaultColWidth="8.61328125" defaultRowHeight="12.449999809265137"/>
  <x:cols>
    <x:col min="1" max="1" width="6" customWidth="1"/>
    <x:col min="2" max="2" width="14" customWidth="1"/>
    <x:col min="3" max="3" width="18" customWidth="1"/>
    <x:col min="4" max="4" width="33" customWidth="1"/>
    <x:col min="5" max="5" width="9" customWidth="1"/>
    <x:col min="6" max="6" width="11.3046875" customWidth="1"/>
    <x:col min="7" max="8" width="9" customWidth="1"/>
    <x:col min="9" max="9" width="10" customWidth="1"/>
    <x:col min="10" max="10" width="20" customWidth="1"/>
    <x:col min="11" max="11" width="12" hidden="1" customWidth="1"/>
    <x:col min="12" max="12" width="24" customWidth="1"/>
    <x:col min="13" max="14" width="22" customWidth="1"/>
    <x:col min="15" max="15" width="34" hidden="1" customWidth="1"/>
    <x:col min="16" max="16" width="8.61328125" customWidth="1"/>
  </x:cols>
  <x:sheetData>
    <x:row r="1" ht="26.049999237060547" customHeight="1">
      <x:c r="A1" s="102" t="s">
        <x:v>214</x:v>
      </x:c>
      <x:c r="B1" s="103" t="s">
        <x:v>100</x:v>
      </x:c>
      <x:c r="C1" s="103" t="s">
        <x:v>215</x:v>
      </x:c>
      <x:c r="D1" s="103" t="s">
        <x:v>216</x:v>
      </x:c>
      <x:c r="E1" s="103" t="s">
        <x:v>217</x:v>
      </x:c>
      <x:c r="F1" s="86" t="s">
        <x:v>218</x:v>
      </x:c>
      <x:c r="G1" s="103" t="s">
        <x:v>219</x:v>
      </x:c>
      <x:c r="H1" s="103" t="s">
        <x:v>220</x:v>
      </x:c>
      <x:c r="I1" s="103" t="s">
        <x:v>221</x:v>
      </x:c>
      <x:c r="J1" s="103" t="s">
        <x:v>222</x:v>
      </x:c>
      <x:c r="K1" s="103" t="s">
        <x:v>223</x:v>
      </x:c>
      <x:c r="L1" s="103" t="s">
        <x:v>224</x:v>
      </x:c>
      <x:c r="M1" s="102" t="s">
        <x:v>225</x:v>
      </x:c>
      <x:c r="N1" s="103" t="s">
        <x:v>226</x:v>
      </x:c>
      <x:c r="O1" s="103" t="s">
        <x:v>227</x:v>
      </x:c>
    </x:row>
    <x:row r="2" ht="14.5" customHeight="1">
      <x:c r="A2" s="104">
        <x:v>1</x:v>
      </x:c>
      <x:c r="B2" s="105" t="s">
        <x:v>104</x:v>
      </x:c>
      <x:c r="C2" s="104" t="s">
        <x:v>228</x:v>
      </x:c>
      <x:c r="D2" s="105" t="s">
        <x:v>229</x:v>
      </x:c>
      <x:c r="E2" s="106" t="s">
        <x:v>69</x:v>
      </x:c>
      <x:c r="F2" s="89" t="s">
        <x:v>230</x:v>
      </x:c>
      <x:c r="G2" s="107" t="s">
        <x:v>74</x:v>
      </x:c>
      <x:c r="H2" s="105" t="s">
        <x:v>231</x:v>
      </x:c>
      <x:c r="I2" s="105" t="s">
        <x:v>104</x:v>
      </x:c>
      <x:c r="J2" s="104" t="s">
        <x:v>105</x:v>
      </x:c>
      <x:c r="K2" s="105" t="s">
        <x:v>232</x:v>
      </x:c>
      <x:c r="L2" s="104"/>
      <x:c r="M2" s="104" t="s">
        <x:v>233</x:v>
      </x:c>
      <x:c r="N2" s="104" t="s">
        <x:v>234</x:v>
      </x:c>
      <x:c r="O2" s="104"/>
    </x:row>
    <x:row r="3" ht="14.5" customHeight="1">
      <x:c r="A3" s="108">
        <x:v>2</x:v>
      </x:c>
      <x:c r="B3" s="109" t="s">
        <x:v>104</x:v>
      </x:c>
      <x:c r="C3" s="108" t="s">
        <x:v>235</x:v>
      </x:c>
      <x:c r="D3" s="109" t="s">
        <x:v>236</x:v>
      </x:c>
      <x:c r="E3" s="106" t="s">
        <x:v>69</x:v>
      </x:c>
      <x:c r="F3" s="89" t="s">
        <x:v>230</x:v>
      </x:c>
      <x:c r="G3" s="107" t="s">
        <x:v>74</x:v>
      </x:c>
      <x:c r="H3" s="109" t="s">
        <x:v>237</x:v>
      </x:c>
      <x:c r="I3" s="109" t="s">
        <x:v>104</x:v>
      </x:c>
      <x:c r="J3" s="108" t="s">
        <x:v>105</x:v>
      </x:c>
      <x:c r="K3" s="109" t="s">
        <x:v>232</x:v>
      </x:c>
      <x:c r="L3" s="108" t="s">
        <x:v>228</x:v>
      </x:c>
      <x:c r="M3" s="108" t="s">
        <x:v>233</x:v>
      </x:c>
      <x:c r="N3" s="108" t="s">
        <x:v>238</x:v>
      </x:c>
      <x:c r="O3" s="108"/>
    </x:row>
    <x:row r="4" ht="30" customHeight="1">
      <x:c r="A4" s="104">
        <x:v>3</x:v>
      </x:c>
      <x:c r="B4" s="105" t="s">
        <x:v>104</x:v>
      </x:c>
      <x:c r="C4" s="104" t="s">
        <x:v>239</x:v>
      </x:c>
      <x:c r="D4" s="105" t="s">
        <x:v>240</x:v>
      </x:c>
      <x:c r="E4" s="110" t="s">
        <x:v>77</x:v>
      </x:c>
      <x:c r="F4" s="93" t="s">
        <x:v>241</x:v>
      </x:c>
      <x:c r="G4" s="111" t="s">
        <x:v>83</x:v>
      </x:c>
      <x:c r="H4" s="105" t="s">
        <x:v>231</x:v>
      </x:c>
      <x:c r="I4" s="105" t="s">
        <x:v>104</x:v>
      </x:c>
      <x:c r="J4" s="104" t="s">
        <x:v>105</x:v>
      </x:c>
      <x:c r="K4" s="105" t="s">
        <x:v>232</x:v>
      </x:c>
      <x:c r="L4" s="104" t="s">
        <x:v>235</x:v>
      </x:c>
      <x:c r="M4" s="104" t="s">
        <x:v>233</x:v>
      </x:c>
      <x:c r="N4" s="104" t="s">
        <x:v>238</x:v>
      </x:c>
      <x:c r="O4" s="104" t="s">
        <x:v>242</x:v>
      </x:c>
    </x:row>
    <x:row r="5" ht="30" customHeight="1">
      <x:c r="A5" s="108">
        <x:v>4</x:v>
      </x:c>
      <x:c r="B5" s="109" t="s">
        <x:v>104</x:v>
      </x:c>
      <x:c r="C5" s="108" t="s">
        <x:v>243</x:v>
      </x:c>
      <x:c r="D5" s="109" t="str">
        <x:v>세션 만료 및 재인증</x:v>
      </x:c>
      <x:c r="E5" s="110" t="s">
        <x:v>77</x:v>
      </x:c>
      <x:c r="F5" s="137" t="str">
        <x:v>미진행</x:v>
      </x:c>
      <x:c r="G5" s="111" t="str">
        <x:v>S</x:v>
      </x:c>
      <x:c r="H5" s="109" t="str">
        <x:v>중</x:v>
      </x:c>
      <x:c r="I5" s="109" t="s">
        <x:v>104</x:v>
      </x:c>
      <x:c r="J5" s="108" t="s">
        <x:v>145</x:v>
      </x:c>
      <x:c r="K5" s="109" t="str">
        <x:v>보류</x:v>
      </x:c>
      <x:c r="L5" s="108" t="str">
        <x:v>FGC-FUN-001</x:v>
      </x:c>
      <x:c r="M5" s="108" t="s">
        <x:v>233</x:v>
      </x:c>
      <x:c r="N5" s="108" t="str">
        <x:v>SRC-006</x:v>
      </x:c>
      <x:c r="O5" s="108" t="str">
        <x:v>v3.0 (2026-10-27, 현준 회의 반영): 추가 미사용 만료·중요 작업 재인증은 2차 범위에서 제외한다. 기존 로그인·JWT/세션 만료·Refresh 처리는 유지한다. 원안은 추적용이며 신규 구현·인수 대상이 아니다.</x:v>
      </x:c>
    </x:row>
    <x:row r="6" ht="14.5" customHeight="1">
      <x:c r="A6" s="104">
        <x:v>5</x:v>
      </x:c>
      <x:c r="B6" s="105" t="s">
        <x:v>104</x:v>
      </x:c>
      <x:c r="C6" s="104" t="s">
        <x:v>244</x:v>
      </x:c>
      <x:c r="D6" s="105" t="s">
        <x:v>245</x:v>
      </x:c>
      <x:c r="E6" s="106" t="s">
        <x:v>69</x:v>
      </x:c>
      <x:c r="F6" s="89" t="s">
        <x:v>230</x:v>
      </x:c>
      <x:c r="G6" s="111" t="s">
        <x:v>83</x:v>
      </x:c>
      <x:c r="H6" s="105" t="s">
        <x:v>231</x:v>
      </x:c>
      <x:c r="I6" s="105" t="s">
        <x:v>104</x:v>
      </x:c>
      <x:c r="J6" s="104" t="s">
        <x:v>105</x:v>
      </x:c>
      <x:c r="K6" s="105" t="s">
        <x:v>232</x:v>
      </x:c>
      <x:c r="L6" s="104"/>
      <x:c r="M6" s="104" t="s">
        <x:v>246</x:v>
      </x:c>
      <x:c r="N6" s="104" t="s">
        <x:v>234</x:v>
      </x:c>
      <x:c r="O6" s="104" t="s">
        <x:v>247</x:v>
      </x:c>
    </x:row>
    <x:row r="7" ht="14.5" customHeight="1">
      <x:c r="A7" s="108">
        <x:v>6</x:v>
      </x:c>
      <x:c r="B7" s="109" t="s">
        <x:v>104</x:v>
      </x:c>
      <x:c r="C7" s="108" t="s">
        <x:v>248</x:v>
      </x:c>
      <x:c r="D7" s="109" t="s">
        <x:v>249</x:v>
      </x:c>
      <x:c r="E7" s="106" t="s">
        <x:v>69</x:v>
      </x:c>
      <x:c r="F7" s="89" t="s">
        <x:v>230</x:v>
      </x:c>
      <x:c r="G7" s="111" t="s">
        <x:v>83</x:v>
      </x:c>
      <x:c r="H7" s="109" t="s">
        <x:v>250</x:v>
      </x:c>
      <x:c r="I7" s="109" t="s">
        <x:v>104</x:v>
      </x:c>
      <x:c r="J7" s="108" t="s">
        <x:v>105</x:v>
      </x:c>
      <x:c r="K7" s="109" t="s">
        <x:v>232</x:v>
      </x:c>
      <x:c r="L7" s="108"/>
      <x:c r="M7" s="108" t="s">
        <x:v>246</x:v>
      </x:c>
      <x:c r="N7" s="108" t="s">
        <x:v>251</x:v>
      </x:c>
      <x:c r="O7" s="109" t="s">
        <x:v>247</x:v>
      </x:c>
    </x:row>
    <x:row r="8" ht="29.049999237060547" customHeight="1">
      <x:c r="A8" s="104">
        <x:v>7</x:v>
      </x:c>
      <x:c r="B8" s="105" t="s">
        <x:v>104</x:v>
      </x:c>
      <x:c r="C8" s="104" t="s">
        <x:v>252</x:v>
      </x:c>
      <x:c r="D8" s="105" t="s">
        <x:v>253</x:v>
      </x:c>
      <x:c r="E8" s="106" t="s">
        <x:v>69</x:v>
      </x:c>
      <x:c r="F8" s="89" t="s">
        <x:v>230</x:v>
      </x:c>
      <x:c r="G8" s="111" t="s">
        <x:v>83</x:v>
      </x:c>
      <x:c r="H8" s="105" t="s">
        <x:v>231</x:v>
      </x:c>
      <x:c r="I8" s="105" t="s">
        <x:v>104</x:v>
      </x:c>
      <x:c r="J8" s="104" t="s">
        <x:v>105</x:v>
      </x:c>
      <x:c r="K8" s="105" t="s">
        <x:v>232</x:v>
      </x:c>
      <x:c r="L8" s="104" t="s">
        <x:v>248</x:v>
      </x:c>
      <x:c r="M8" s="104" t="s">
        <x:v>246</x:v>
      </x:c>
      <x:c r="N8" s="104" t="s">
        <x:v>254</x:v>
      </x:c>
      <x:c r="O8" s="104" t="s">
        <x:v>255</x:v>
      </x:c>
    </x:row>
    <x:row r="9" ht="29.049999237060547" customHeight="1">
      <x:c r="A9" s="108">
        <x:v>8</x:v>
      </x:c>
      <x:c r="B9" s="109" t="s">
        <x:v>104</x:v>
      </x:c>
      <x:c r="C9" s="108" t="s">
        <x:v>256</x:v>
      </x:c>
      <x:c r="D9" s="109" t="s">
        <x:v>257</x:v>
      </x:c>
      <x:c r="E9" s="106" t="s">
        <x:v>69</x:v>
      </x:c>
      <x:c r="F9" s="89" t="s">
        <x:v>230</x:v>
      </x:c>
      <x:c r="G9" s="111" t="s">
        <x:v>83</x:v>
      </x:c>
      <x:c r="H9" s="109" t="s">
        <x:v>231</x:v>
      </x:c>
      <x:c r="I9" s="109" t="s">
        <x:v>104</x:v>
      </x:c>
      <x:c r="J9" s="108" t="s">
        <x:v>105</x:v>
      </x:c>
      <x:c r="K9" s="109" t="s">
        <x:v>232</x:v>
      </x:c>
      <x:c r="L9" s="108" t="s">
        <x:v>244</x:v>
      </x:c>
      <x:c r="M9" s="108" t="s">
        <x:v>246</x:v>
      </x:c>
      <x:c r="N9" s="108" t="s">
        <x:v>258</x:v>
      </x:c>
      <x:c r="O9" s="108" t="s">
        <x:v>259</x:v>
      </x:c>
    </x:row>
    <x:row r="10" ht="29.049999237060547" customHeight="1">
      <x:c r="A10" s="104">
        <x:v>9</x:v>
      </x:c>
      <x:c r="B10" s="105" t="s">
        <x:v>104</x:v>
      </x:c>
      <x:c r="C10" s="104" t="s">
        <x:v>260</x:v>
      </x:c>
      <x:c r="D10" s="105" t="s">
        <x:v>261</x:v>
      </x:c>
      <x:c r="E10" s="106" t="s">
        <x:v>69</x:v>
      </x:c>
      <x:c r="F10" s="89" t="s">
        <x:v>230</x:v>
      </x:c>
      <x:c r="G10" s="111" t="s">
        <x:v>83</x:v>
      </x:c>
      <x:c r="H10" s="105" t="s">
        <x:v>231</x:v>
      </x:c>
      <x:c r="I10" s="105" t="s">
        <x:v>104</x:v>
      </x:c>
      <x:c r="J10" s="104" t="s">
        <x:v>262</x:v>
      </x:c>
      <x:c r="K10" s="105" t="s">
        <x:v>232</x:v>
      </x:c>
      <x:c r="L10" s="104"/>
      <x:c r="M10" s="104" t="s">
        <x:v>246</x:v>
      </x:c>
      <x:c r="N10" s="104" t="s">
        <x:v>263</x:v>
      </x:c>
      <x:c r="O10" s="104" t="s">
        <x:v>264</x:v>
      </x:c>
    </x:row>
    <x:row r="11" ht="30" customHeight="1">
      <x:c r="A11" s="108">
        <x:v>10</x:v>
      </x:c>
      <x:c r="B11" s="109" t="s">
        <x:v>104</x:v>
      </x:c>
      <x:c r="C11" s="108" t="s">
        <x:v>265</x:v>
      </x:c>
      <x:c r="D11" s="109" t="s">
        <x:v>266</x:v>
      </x:c>
      <x:c r="E11" s="110" t="s">
        <x:v>77</x:v>
      </x:c>
      <x:c r="F11" s="95" t="s">
        <x:v>267</x:v>
      </x:c>
      <x:c r="G11" s="111" t="s">
        <x:v>83</x:v>
      </x:c>
      <x:c r="H11" s="109" t="s">
        <x:v>237</x:v>
      </x:c>
      <x:c r="I11" s="109" t="s">
        <x:v>104</x:v>
      </x:c>
      <x:c r="J11" s="108" t="s">
        <x:v>268</x:v>
      </x:c>
      <x:c r="K11" s="109" t="s">
        <x:v>232</x:v>
      </x:c>
      <x:c r="L11" s="108" t="s">
        <x:v>256</x:v>
      </x:c>
      <x:c r="M11" s="108" t="s">
        <x:v>246</x:v>
      </x:c>
      <x:c r="N11" s="108" t="s">
        <x:v>269</x:v>
      </x:c>
      <x:c r="O11" s="108" t="s">
        <x:v>270</x:v>
      </x:c>
    </x:row>
    <x:row r="12" ht="43.5" customHeight="1">
      <x:c r="A12" s="104">
        <x:v>11</x:v>
      </x:c>
      <x:c r="B12" s="105" t="s">
        <x:v>104</x:v>
      </x:c>
      <x:c r="C12" s="104" t="s">
        <x:v>271</x:v>
      </x:c>
      <x:c r="D12" s="105" t="s">
        <x:v>272</x:v>
      </x:c>
      <x:c r="E12" s="106" t="s">
        <x:v>69</x:v>
      </x:c>
      <x:c r="F12" s="89" t="s">
        <x:v>230</x:v>
      </x:c>
      <x:c r="G12" s="107" t="s">
        <x:v>74</x:v>
      </x:c>
      <x:c r="H12" s="105" t="s">
        <x:v>237</x:v>
      </x:c>
      <x:c r="I12" s="105" t="s">
        <x:v>104</x:v>
      </x:c>
      <x:c r="J12" s="104" t="s">
        <x:v>268</x:v>
      </x:c>
      <x:c r="K12" s="105" t="s">
        <x:v>232</x:v>
      </x:c>
      <x:c r="L12" s="104" t="s">
        <x:v>273</x:v>
      </x:c>
      <x:c r="M12" s="104" t="s">
        <x:v>274</x:v>
      </x:c>
      <x:c r="N12" s="104" t="s">
        <x:v>275</x:v>
      </x:c>
      <x:c r="O12" s="104" t="s">
        <x:v>276</x:v>
      </x:c>
    </x:row>
    <x:row r="13" ht="43.5" customHeight="1">
      <x:c r="A13" s="108">
        <x:v>12</x:v>
      </x:c>
      <x:c r="B13" s="109" t="s">
        <x:v>104</x:v>
      </x:c>
      <x:c r="C13" s="108" t="s">
        <x:v>277</x:v>
      </x:c>
      <x:c r="D13" s="109" t="s">
        <x:v>278</x:v>
      </x:c>
      <x:c r="E13" s="106" t="s">
        <x:v>69</x:v>
      </x:c>
      <x:c r="F13" s="89" t="s">
        <x:v>230</x:v>
      </x:c>
      <x:c r="G13" s="107" t="s">
        <x:v>74</x:v>
      </x:c>
      <x:c r="H13" s="109" t="s">
        <x:v>237</x:v>
      </x:c>
      <x:c r="I13" s="109" t="s">
        <x:v>104</x:v>
      </x:c>
      <x:c r="J13" s="108" t="s">
        <x:v>268</x:v>
      </x:c>
      <x:c r="K13" s="109" t="s">
        <x:v>232</x:v>
      </x:c>
      <x:c r="L13" s="108" t="s">
        <x:v>260</x:v>
      </x:c>
      <x:c r="M13" s="108" t="s">
        <x:v>274</x:v>
      </x:c>
      <x:c r="N13" s="108" t="s">
        <x:v>279</x:v>
      </x:c>
      <x:c r="O13" s="108" t="s">
        <x:v>280</x:v>
      </x:c>
    </x:row>
    <x:row r="14" ht="58" customHeight="1">
      <x:c r="A14" s="104">
        <x:v>13</x:v>
      </x:c>
      <x:c r="B14" s="105" t="s">
        <x:v>104</x:v>
      </x:c>
      <x:c r="C14" s="104" t="s">
        <x:v>281</x:v>
      </x:c>
      <x:c r="D14" s="105" t="s">
        <x:v>282</x:v>
      </x:c>
      <x:c r="E14" s="106" t="s">
        <x:v>69</x:v>
      </x:c>
      <x:c r="F14" s="89" t="s">
        <x:v>230</x:v>
      </x:c>
      <x:c r="G14" s="107" t="s">
        <x:v>74</x:v>
      </x:c>
      <x:c r="H14" s="105" t="s">
        <x:v>237</x:v>
      </x:c>
      <x:c r="I14" s="105" t="s">
        <x:v>104</x:v>
      </x:c>
      <x:c r="J14" s="104" t="s">
        <x:v>262</x:v>
      </x:c>
      <x:c r="K14" s="105" t="s">
        <x:v>232</x:v>
      </x:c>
      <x:c r="L14" s="104" t="s">
        <x:v>283</x:v>
      </x:c>
      <x:c r="M14" s="104" t="s">
        <x:v>274</x:v>
      </x:c>
      <x:c r="N14" s="104" t="s">
        <x:v>284</x:v>
      </x:c>
      <x:c r="O14" s="104" t="s">
        <x:v>285</x:v>
      </x:c>
    </x:row>
    <x:row r="15" ht="43.650001525878906" customHeight="1">
      <x:c r="A15" s="108">
        <x:v>14</x:v>
      </x:c>
      <x:c r="B15" s="109" t="s">
        <x:v>104</x:v>
      </x:c>
      <x:c r="C15" s="108" t="s">
        <x:v>286</x:v>
      </x:c>
      <x:c r="D15" s="109" t="s">
        <x:v>287</x:v>
      </x:c>
      <x:c r="E15" s="110" t="s">
        <x:v>77</x:v>
      </x:c>
      <x:c r="F15" s="89" t="s">
        <x:v>230</x:v>
      </x:c>
      <x:c r="G15" s="107" t="s">
        <x:v>74</x:v>
      </x:c>
      <x:c r="H15" s="109" t="s">
        <x:v>237</x:v>
      </x:c>
      <x:c r="I15" s="109" t="s">
        <x:v>104</x:v>
      </x:c>
      <x:c r="J15" s="108" t="s">
        <x:v>268</x:v>
      </x:c>
      <x:c r="K15" s="109" t="s">
        <x:v>232</x:v>
      </x:c>
      <x:c r="L15" s="108" t="s">
        <x:v>288</x:v>
      </x:c>
      <x:c r="M15" s="108" t="s">
        <x:v>274</x:v>
      </x:c>
      <x:c r="N15" s="108" t="s">
        <x:v>289</x:v>
      </x:c>
      <x:c r="O15" s="108" t="s">
        <x:v>290</x:v>
      </x:c>
    </x:row>
    <x:row r="16" ht="30" customHeight="1">
      <x:c r="A16" s="104">
        <x:v>15</x:v>
      </x:c>
      <x:c r="B16" s="105" t="s">
        <x:v>104</x:v>
      </x:c>
      <x:c r="C16" s="104" t="s">
        <x:v>291</x:v>
      </x:c>
      <x:c r="D16" s="105" t="s">
        <x:v>292</x:v>
      </x:c>
      <x:c r="E16" s="110" t="s">
        <x:v>77</x:v>
      </x:c>
      <x:c r="F16" s="89" t="s">
        <x:v>230</x:v>
      </x:c>
      <x:c r="G16" s="107" t="s">
        <x:v>74</x:v>
      </x:c>
      <x:c r="H16" s="105" t="s">
        <x:v>237</x:v>
      </x:c>
      <x:c r="I16" s="105" t="s">
        <x:v>104</x:v>
      </x:c>
      <x:c r="J16" s="104" t="s">
        <x:v>268</x:v>
      </x:c>
      <x:c r="K16" s="105" t="s">
        <x:v>232</x:v>
      </x:c>
      <x:c r="L16" s="104" t="s">
        <x:v>277</x:v>
      </x:c>
      <x:c r="M16" s="104" t="s">
        <x:v>274</x:v>
      </x:c>
      <x:c r="N16" s="104" t="s">
        <x:v>234</x:v>
      </x:c>
      <x:c r="O16" s="104" t="s">
        <x:v>293</x:v>
      </x:c>
    </x:row>
    <x:row r="17" ht="30.450000762939453" customHeight="1">
      <x:c r="A17" s="108">
        <x:v>16</x:v>
      </x:c>
      <x:c r="B17" s="109" t="s">
        <x:v>104</x:v>
      </x:c>
      <x:c r="C17" s="108" t="s">
        <x:v>294</x:v>
      </x:c>
      <x:c r="D17" s="109" t="s">
        <x:v>295</x:v>
      </x:c>
      <x:c r="E17" s="110" t="s">
        <x:v>77</x:v>
      </x:c>
      <x:c r="F17" s="89" t="s">
        <x:v>230</x:v>
      </x:c>
      <x:c r="G17" s="111" t="s">
        <x:v>83</x:v>
      </x:c>
      <x:c r="H17" s="109" t="s">
        <x:v>231</x:v>
      </x:c>
      <x:c r="I17" s="109" t="s">
        <x:v>104</x:v>
      </x:c>
      <x:c r="J17" s="108" t="s">
        <x:v>262</x:v>
      </x:c>
      <x:c r="K17" s="109" t="s">
        <x:v>232</x:v>
      </x:c>
      <x:c r="L17" s="108" t="s">
        <x:v>277</x:v>
      </x:c>
      <x:c r="M17" s="108" t="s">
        <x:v>274</x:v>
      </x:c>
      <x:c r="N17" s="108" t="s">
        <x:v>296</x:v>
      </x:c>
      <x:c r="O17" s="108" t="s">
        <x:v>297</x:v>
      </x:c>
    </x:row>
    <x:row r="18" ht="30.450000762939453" customHeight="1">
      <x:c r="A18" s="104">
        <x:v>17</x:v>
      </x:c>
      <x:c r="B18" s="105" t="s">
        <x:v>104</x:v>
      </x:c>
      <x:c r="C18" s="104" t="s">
        <x:v>298</x:v>
      </x:c>
      <x:c r="D18" s="105" t="s">
        <x:v>299</x:v>
      </x:c>
      <x:c r="E18" s="110" t="s">
        <x:v>77</x:v>
      </x:c>
      <x:c r="F18" s="89" t="s">
        <x:v>230</x:v>
      </x:c>
      <x:c r="G18" s="111" t="s">
        <x:v>83</x:v>
      </x:c>
      <x:c r="H18" s="105" t="s">
        <x:v>237</x:v>
      </x:c>
      <x:c r="I18" s="105" t="s">
        <x:v>104</x:v>
      </x:c>
      <x:c r="J18" s="104" t="s">
        <x:v>105</x:v>
      </x:c>
      <x:c r="K18" s="105" t="s">
        <x:v>232</x:v>
      </x:c>
      <x:c r="L18" s="104" t="s">
        <x:v>300</x:v>
      </x:c>
      <x:c r="M18" s="104" t="s">
        <x:v>274</x:v>
      </x:c>
      <x:c r="N18" s="104" t="s">
        <x:v>301</x:v>
      </x:c>
      <x:c r="O18" s="104" t="s">
        <x:v>302</x:v>
      </x:c>
    </x:row>
    <x:row r="19" ht="42" customHeight="1">
      <x:c r="A19" s="108">
        <x:v>18</x:v>
      </x:c>
      <x:c r="B19" s="109" t="s">
        <x:v>104</x:v>
      </x:c>
      <x:c r="C19" s="108" t="s">
        <x:v>303</x:v>
      </x:c>
      <x:c r="D19" s="109" t="s">
        <x:v>304</x:v>
      </x:c>
      <x:c r="E19" s="106" t="s">
        <x:v>69</x:v>
      </x:c>
      <x:c r="F19" s="89" t="s">
        <x:v>230</x:v>
      </x:c>
      <x:c r="G19" s="107" t="s">
        <x:v>74</x:v>
      </x:c>
      <x:c r="H19" s="109" t="s">
        <x:v>231</x:v>
      </x:c>
      <x:c r="I19" s="109" t="s">
        <x:v>104</x:v>
      </x:c>
      <x:c r="J19" s="108" t="s">
        <x:v>105</x:v>
      </x:c>
      <x:c r="K19" s="109" t="s">
        <x:v>232</x:v>
      </x:c>
      <x:c r="L19" s="108" t="s">
        <x:v>305</x:v>
      </x:c>
      <x:c r="M19" s="108" t="s">
        <x:v>306</x:v>
      </x:c>
      <x:c r="N19" s="108" t="s">
        <x:v>234</x:v>
      </x:c>
      <x:c r="O19" s="109" t="s">
        <x:v>307</x:v>
      </x:c>
    </x:row>
    <x:row r="20" ht="30" customHeight="1">
      <x:c r="A20" s="104">
        <x:v>19</x:v>
      </x:c>
      <x:c r="B20" s="105" t="s">
        <x:v>104</x:v>
      </x:c>
      <x:c r="C20" s="104" t="s">
        <x:v>308</x:v>
      </x:c>
      <x:c r="D20" s="105" t="s">
        <x:v>309</x:v>
      </x:c>
      <x:c r="E20" s="110" t="s">
        <x:v>77</x:v>
      </x:c>
      <x:c r="F20" s="89" t="s">
        <x:v>230</x:v>
      </x:c>
      <x:c r="G20" s="107" t="s">
        <x:v>74</x:v>
      </x:c>
      <x:c r="H20" s="105" t="s">
        <x:v>237</x:v>
      </x:c>
      <x:c r="I20" s="105" t="s">
        <x:v>104</x:v>
      </x:c>
      <x:c r="J20" s="104" t="s">
        <x:v>268</x:v>
      </x:c>
      <x:c r="K20" s="105" t="s">
        <x:v>232</x:v>
      </x:c>
      <x:c r="L20" s="104" t="s">
        <x:v>303</x:v>
      </x:c>
      <x:c r="M20" s="104" t="s">
        <x:v>306</x:v>
      </x:c>
      <x:c r="N20" s="104" t="s">
        <x:v>234</x:v>
      </x:c>
      <x:c r="O20" s="104" t="s">
        <x:v>310</x:v>
      </x:c>
    </x:row>
    <x:row r="21" ht="30" customHeight="1">
      <x:c r="A21" s="108">
        <x:v>20</x:v>
      </x:c>
      <x:c r="B21" s="109" t="s">
        <x:v>104</x:v>
      </x:c>
      <x:c r="C21" s="108" t="s">
        <x:v>311</x:v>
      </x:c>
      <x:c r="D21" s="109" t="s">
        <x:v>312</x:v>
      </x:c>
      <x:c r="E21" s="110" t="s">
        <x:v>77</x:v>
      </x:c>
      <x:c r="F21" s="89" t="s">
        <x:v>230</x:v>
      </x:c>
      <x:c r="G21" s="107" t="s">
        <x:v>74</x:v>
      </x:c>
      <x:c r="H21" s="109" t="s">
        <x:v>231</x:v>
      </x:c>
      <x:c r="I21" s="109" t="s">
        <x:v>104</x:v>
      </x:c>
      <x:c r="J21" s="108" t="s">
        <x:v>105</x:v>
      </x:c>
      <x:c r="K21" s="109" t="s">
        <x:v>232</x:v>
      </x:c>
      <x:c r="L21" s="108" t="s">
        <x:v>308</x:v>
      </x:c>
      <x:c r="M21" s="108" t="s">
        <x:v>306</x:v>
      </x:c>
      <x:c r="N21" s="108" t="s">
        <x:v>234</x:v>
      </x:c>
      <x:c r="O21" s="109" t="s">
        <x:v>313</x:v>
      </x:c>
    </x:row>
    <x:row r="22" ht="30" customHeight="1">
      <x:c r="A22" s="104">
        <x:v>21</x:v>
      </x:c>
      <x:c r="B22" s="105" t="s">
        <x:v>104</x:v>
      </x:c>
      <x:c r="C22" s="104" t="s">
        <x:v>314</x:v>
      </x:c>
      <x:c r="D22" s="105" t="s">
        <x:v>315</x:v>
      </x:c>
      <x:c r="E22" s="110" t="s">
        <x:v>77</x:v>
      </x:c>
      <x:c r="F22" s="89" t="s">
        <x:v>230</x:v>
      </x:c>
      <x:c r="G22" s="111" t="s">
        <x:v>83</x:v>
      </x:c>
      <x:c r="H22" s="105" t="s">
        <x:v>250</x:v>
      </x:c>
      <x:c r="I22" s="105" t="s">
        <x:v>104</x:v>
      </x:c>
      <x:c r="J22" s="104" t="s">
        <x:v>105</x:v>
      </x:c>
      <x:c r="K22" s="105" t="s">
        <x:v>316</x:v>
      </x:c>
      <x:c r="L22" s="104" t="s">
        <x:v>311</x:v>
      </x:c>
      <x:c r="M22" s="104" t="s">
        <x:v>306</x:v>
      </x:c>
      <x:c r="N22" s="104" t="s">
        <x:v>238</x:v>
      </x:c>
      <x:c r="O22" s="104" t="s">
        <x:v>317</x:v>
      </x:c>
    </x:row>
    <x:row r="23" ht="30.450000762939453" customHeight="1">
      <x:c r="A23" s="108">
        <x:v>22</x:v>
      </x:c>
      <x:c r="B23" s="109" t="s">
        <x:v>104</x:v>
      </x:c>
      <x:c r="C23" s="108" t="s">
        <x:v>318</x:v>
      </x:c>
      <x:c r="D23" s="109" t="s">
        <x:v>319</x:v>
      </x:c>
      <x:c r="E23" s="110" t="s">
        <x:v>77</x:v>
      </x:c>
      <x:c r="F23" s="89" t="s">
        <x:v>230</x:v>
      </x:c>
      <x:c r="G23" s="107" t="s">
        <x:v>74</x:v>
      </x:c>
      <x:c r="H23" s="109" t="s">
        <x:v>237</x:v>
      </x:c>
      <x:c r="I23" s="109" t="s">
        <x:v>104</x:v>
      </x:c>
      <x:c r="J23" s="108" t="s">
        <x:v>268</x:v>
      </x:c>
      <x:c r="K23" s="109" t="s">
        <x:v>232</x:v>
      </x:c>
      <x:c r="L23" s="108" t="s">
        <x:v>320</x:v>
      </x:c>
      <x:c r="M23" s="108" t="s">
        <x:v>306</x:v>
      </x:c>
      <x:c r="N23" s="108" t="s">
        <x:v>234</x:v>
      </x:c>
      <x:c r="O23" s="109" t="s">
        <x:v>321</x:v>
      </x:c>
    </x:row>
    <x:row r="24" ht="30" customHeight="1">
      <x:c r="A24" s="104">
        <x:v>23</x:v>
      </x:c>
      <x:c r="B24" s="105" t="s">
        <x:v>104</x:v>
      </x:c>
      <x:c r="C24" s="104" t="s">
        <x:v>322</x:v>
      </x:c>
      <x:c r="D24" s="105" t="s">
        <x:v>323</x:v>
      </x:c>
      <x:c r="E24" s="110" t="s">
        <x:v>77</x:v>
      </x:c>
      <x:c r="F24" s="89" t="s">
        <x:v>230</x:v>
      </x:c>
      <x:c r="G24" s="111" t="s">
        <x:v>83</x:v>
      </x:c>
      <x:c r="H24" s="105" t="s">
        <x:v>237</x:v>
      </x:c>
      <x:c r="I24" s="105" t="s">
        <x:v>104</x:v>
      </x:c>
      <x:c r="J24" s="104" t="s">
        <x:v>268</x:v>
      </x:c>
      <x:c r="K24" s="105" t="s">
        <x:v>232</x:v>
      </x:c>
      <x:c r="L24" s="104" t="s">
        <x:v>324</x:v>
      </x:c>
      <x:c r="M24" s="104" t="s">
        <x:v>306</x:v>
      </x:c>
      <x:c r="N24" s="104" t="s">
        <x:v>251</x:v>
      </x:c>
      <x:c r="O24" s="104" t="s">
        <x:v>325</x:v>
      </x:c>
    </x:row>
    <x:row r="25" ht="43.5" customHeight="1">
      <x:c r="A25" s="108">
        <x:v>24</x:v>
      </x:c>
      <x:c r="B25" s="109" t="s">
        <x:v>104</x:v>
      </x:c>
      <x:c r="C25" s="108" t="s">
        <x:v>326</x:v>
      </x:c>
      <x:c r="D25" s="109" t="s">
        <x:v>327</x:v>
      </x:c>
      <x:c r="E25" s="106" t="s">
        <x:v>69</x:v>
      </x:c>
      <x:c r="F25" s="89" t="s">
        <x:v>230</x:v>
      </x:c>
      <x:c r="G25" s="107" t="s">
        <x:v>74</x:v>
      </x:c>
      <x:c r="H25" s="109" t="s">
        <x:v>237</x:v>
      </x:c>
      <x:c r="I25" s="109" t="s">
        <x:v>104</x:v>
      </x:c>
      <x:c r="J25" s="108" t="s">
        <x:v>268</x:v>
      </x:c>
      <x:c r="K25" s="109" t="s">
        <x:v>232</x:v>
      </x:c>
      <x:c r="L25" s="108" t="s">
        <x:v>328</x:v>
      </x:c>
      <x:c r="M25" s="108" t="s">
        <x:v>329</x:v>
      </x:c>
      <x:c r="N25" s="108" t="s">
        <x:v>330</x:v>
      </x:c>
      <x:c r="O25" s="108" t="s">
        <x:v>331</x:v>
      </x:c>
    </x:row>
    <x:row r="26" ht="43.5" customHeight="1">
      <x:c r="A26" s="104">
        <x:v>25</x:v>
      </x:c>
      <x:c r="B26" s="105" t="s">
        <x:v>104</x:v>
      </x:c>
      <x:c r="C26" s="104" t="s">
        <x:v>332</x:v>
      </x:c>
      <x:c r="D26" s="105" t="s">
        <x:v>333</x:v>
      </x:c>
      <x:c r="E26" s="106" t="s">
        <x:v>69</x:v>
      </x:c>
      <x:c r="F26" s="89" t="s">
        <x:v>230</x:v>
      </x:c>
      <x:c r="G26" s="107" t="s">
        <x:v>74</x:v>
      </x:c>
      <x:c r="H26" s="105" t="s">
        <x:v>237</x:v>
      </x:c>
      <x:c r="I26" s="105" t="s">
        <x:v>104</x:v>
      </x:c>
      <x:c r="J26" s="104" t="s">
        <x:v>268</x:v>
      </x:c>
      <x:c r="K26" s="105" t="s">
        <x:v>232</x:v>
      </x:c>
      <x:c r="L26" s="104" t="s">
        <x:v>334</x:v>
      </x:c>
      <x:c r="M26" s="104" t="s">
        <x:v>329</x:v>
      </x:c>
      <x:c r="N26" s="104" t="s">
        <x:v>335</x:v>
      </x:c>
      <x:c r="O26" s="104" t="s">
        <x:v>336</x:v>
      </x:c>
    </x:row>
    <x:row r="27" ht="14.5" customHeight="1">
      <x:c r="A27" s="108">
        <x:v>26</x:v>
      </x:c>
      <x:c r="B27" s="109" t="s">
        <x:v>104</x:v>
      </x:c>
      <x:c r="C27" s="108" t="s">
        <x:v>337</x:v>
      </x:c>
      <x:c r="D27" s="109" t="s">
        <x:v>338</x:v>
      </x:c>
      <x:c r="E27" s="106" t="s">
        <x:v>69</x:v>
      </x:c>
      <x:c r="F27" s="89" t="s">
        <x:v>230</x:v>
      </x:c>
      <x:c r="G27" s="107" t="s">
        <x:v>74</x:v>
      </x:c>
      <x:c r="H27" s="109" t="s">
        <x:v>231</x:v>
      </x:c>
      <x:c r="I27" s="109" t="s">
        <x:v>104</x:v>
      </x:c>
      <x:c r="J27" s="108" t="s">
        <x:v>105</x:v>
      </x:c>
      <x:c r="K27" s="109" t="s">
        <x:v>232</x:v>
      </x:c>
      <x:c r="L27" s="108" t="s">
        <x:v>339</x:v>
      </x:c>
      <x:c r="M27" s="108" t="s">
        <x:v>329</x:v>
      </x:c>
      <x:c r="N27" s="108" t="s">
        <x:v>234</x:v>
      </x:c>
      <x:c r="O27" s="108" t="s">
        <x:v>340</x:v>
      </x:c>
    </x:row>
    <x:row r="28" ht="43.5" customHeight="1">
      <x:c r="A28" s="104">
        <x:v>27</x:v>
      </x:c>
      <x:c r="B28" s="105" t="s">
        <x:v>104</x:v>
      </x:c>
      <x:c r="C28" s="104" t="s">
        <x:v>341</x:v>
      </x:c>
      <x:c r="D28" s="105" t="s">
        <x:v>342</x:v>
      </x:c>
      <x:c r="E28" s="106" t="s">
        <x:v>69</x:v>
      </x:c>
      <x:c r="F28" s="89" t="s">
        <x:v>230</x:v>
      </x:c>
      <x:c r="G28" s="107" t="s">
        <x:v>74</x:v>
      </x:c>
      <x:c r="H28" s="105" t="s">
        <x:v>237</x:v>
      </x:c>
      <x:c r="I28" s="105" t="s">
        <x:v>104</x:v>
      </x:c>
      <x:c r="J28" s="104" t="s">
        <x:v>268</x:v>
      </x:c>
      <x:c r="K28" s="105" t="s">
        <x:v>232</x:v>
      </x:c>
      <x:c r="L28" s="104" t="s">
        <x:v>343</x:v>
      </x:c>
      <x:c r="M28" s="104" t="s">
        <x:v>329</x:v>
      </x:c>
      <x:c r="N28" s="104" t="s">
        <x:v>344</x:v>
      </x:c>
      <x:c r="O28" s="104" t="s">
        <x:v>345</x:v>
      </x:c>
    </x:row>
    <x:row r="29" ht="14.5" customHeight="1">
      <x:c r="A29" s="108">
        <x:v>28</x:v>
      </x:c>
      <x:c r="B29" s="109" t="s">
        <x:v>104</x:v>
      </x:c>
      <x:c r="C29" s="108" t="s">
        <x:v>346</x:v>
      </x:c>
      <x:c r="D29" s="109" t="s">
        <x:v>347</x:v>
      </x:c>
      <x:c r="E29" s="106" t="s">
        <x:v>69</x:v>
      </x:c>
      <x:c r="F29" s="89" t="s">
        <x:v>230</x:v>
      </x:c>
      <x:c r="G29" s="107" t="s">
        <x:v>74</x:v>
      </x:c>
      <x:c r="H29" s="109" t="s">
        <x:v>231</x:v>
      </x:c>
      <x:c r="I29" s="109" t="s">
        <x:v>104</x:v>
      </x:c>
      <x:c r="J29" s="108" t="s">
        <x:v>105</x:v>
      </x:c>
      <x:c r="K29" s="109" t="s">
        <x:v>232</x:v>
      </x:c>
      <x:c r="L29" s="108" t="s">
        <x:v>348</x:v>
      </x:c>
      <x:c r="M29" s="108" t="s">
        <x:v>329</x:v>
      </x:c>
      <x:c r="N29" s="108" t="s">
        <x:v>349</x:v>
      </x:c>
      <x:c r="O29" s="108" t="s">
        <x:v>350</x:v>
      </x:c>
    </x:row>
    <x:row r="30" ht="43.5" customHeight="1">
      <x:c r="A30" s="104">
        <x:v>29</x:v>
      </x:c>
      <x:c r="B30" s="105" t="s">
        <x:v>104</x:v>
      </x:c>
      <x:c r="C30" s="104" t="s">
        <x:v>351</x:v>
      </x:c>
      <x:c r="D30" s="105" t="s">
        <x:v>352</x:v>
      </x:c>
      <x:c r="E30" s="106" t="s">
        <x:v>69</x:v>
      </x:c>
      <x:c r="F30" s="89" t="s">
        <x:v>230</x:v>
      </x:c>
      <x:c r="G30" s="111" t="s">
        <x:v>83</x:v>
      </x:c>
      <x:c r="H30" s="105" t="s">
        <x:v>231</x:v>
      </x:c>
      <x:c r="I30" s="105" t="s">
        <x:v>104</x:v>
      </x:c>
      <x:c r="J30" s="104" t="s">
        <x:v>105</x:v>
      </x:c>
      <x:c r="K30" s="105" t="s">
        <x:v>232</x:v>
      </x:c>
      <x:c r="L30" s="104" t="s">
        <x:v>353</x:v>
      </x:c>
      <x:c r="M30" s="104" t="s">
        <x:v>329</x:v>
      </x:c>
      <x:c r="N30" s="104" t="s">
        <x:v>234</x:v>
      </x:c>
      <x:c r="O30" s="104"/>
    </x:row>
    <x:row r="31" ht="58" customHeight="1">
      <x:c r="A31" s="108">
        <x:v>30</x:v>
      </x:c>
      <x:c r="B31" s="109" t="s">
        <x:v>104</x:v>
      </x:c>
      <x:c r="C31" s="108" t="s">
        <x:v>354</x:v>
      </x:c>
      <x:c r="D31" s="109" t="s">
        <x:v>355</x:v>
      </x:c>
      <x:c r="E31" s="106" t="s">
        <x:v>69</x:v>
      </x:c>
      <x:c r="F31" s="89" t="s">
        <x:v>230</x:v>
      </x:c>
      <x:c r="G31" s="107" t="s">
        <x:v>74</x:v>
      </x:c>
      <x:c r="H31" s="109" t="s">
        <x:v>237</x:v>
      </x:c>
      <x:c r="I31" s="109" t="s">
        <x:v>104</x:v>
      </x:c>
      <x:c r="J31" s="108" t="s">
        <x:v>268</x:v>
      </x:c>
      <x:c r="K31" s="109" t="s">
        <x:v>232</x:v>
      </x:c>
      <x:c r="L31" s="108" t="s">
        <x:v>356</x:v>
      </x:c>
      <x:c r="M31" s="108" t="s">
        <x:v>357</x:v>
      </x:c>
      <x:c r="N31" s="108" t="s">
        <x:v>358</x:v>
      </x:c>
      <x:c r="O31" s="108" t="s">
        <x:v>359</x:v>
      </x:c>
    </x:row>
    <x:row r="32" ht="70" customHeight="1">
      <x:c r="A32" s="104">
        <x:v>31</x:v>
      </x:c>
      <x:c r="B32" s="105" t="s">
        <x:v>104</x:v>
      </x:c>
      <x:c r="C32" s="104" t="s">
        <x:v>360</x:v>
      </x:c>
      <x:c r="D32" s="105" t="s">
        <x:v>361</x:v>
      </x:c>
      <x:c r="E32" s="110" t="s">
        <x:v>77</x:v>
      </x:c>
      <x:c r="F32" s="89" t="s">
        <x:v>230</x:v>
      </x:c>
      <x:c r="G32" s="107" t="s">
        <x:v>74</x:v>
      </x:c>
      <x:c r="H32" s="105" t="s">
        <x:v>237</x:v>
      </x:c>
      <x:c r="I32" s="105" t="s">
        <x:v>104</x:v>
      </x:c>
      <x:c r="J32" s="104" t="s">
        <x:v>268</x:v>
      </x:c>
      <x:c r="K32" s="105" t="s">
        <x:v>232</x:v>
      </x:c>
      <x:c r="L32" s="104" t="s">
        <x:v>362</x:v>
      </x:c>
      <x:c r="M32" s="104" t="s">
        <x:v>357</x:v>
      </x:c>
      <x:c r="N32" s="104" t="s">
        <x:v>363</x:v>
      </x:c>
      <x:c r="O32" s="104" t="s">
        <x:v>364</x:v>
      </x:c>
    </x:row>
    <x:row r="33" ht="70" customHeight="1">
      <x:c r="A33" s="108">
        <x:v>32</x:v>
      </x:c>
      <x:c r="B33" s="109" t="s">
        <x:v>104</x:v>
      </x:c>
      <x:c r="C33" s="108" t="s">
        <x:v>365</x:v>
      </x:c>
      <x:c r="D33" s="109" t="s">
        <x:v>366</x:v>
      </x:c>
      <x:c r="E33" s="110" t="s">
        <x:v>77</x:v>
      </x:c>
      <x:c r="F33" s="89" t="s">
        <x:v>230</x:v>
      </x:c>
      <x:c r="G33" s="107" t="s">
        <x:v>74</x:v>
      </x:c>
      <x:c r="H33" s="109" t="s">
        <x:v>237</x:v>
      </x:c>
      <x:c r="I33" s="109" t="s">
        <x:v>104</x:v>
      </x:c>
      <x:c r="J33" s="108" t="s">
        <x:v>268</x:v>
      </x:c>
      <x:c r="K33" s="109" t="s">
        <x:v>232</x:v>
      </x:c>
      <x:c r="L33" s="108" t="s">
        <x:v>362</x:v>
      </x:c>
      <x:c r="M33" s="108" t="s">
        <x:v>357</x:v>
      </x:c>
      <x:c r="N33" s="108" t="s">
        <x:v>367</x:v>
      </x:c>
      <x:c r="O33" s="108" t="s">
        <x:v>368</x:v>
      </x:c>
    </x:row>
    <x:row r="34" ht="29.049999237060547" customHeight="1">
      <x:c r="A34" s="104">
        <x:v>33</x:v>
      </x:c>
      <x:c r="B34" s="105" t="s">
        <x:v>104</x:v>
      </x:c>
      <x:c r="C34" s="104" t="s">
        <x:v>369</x:v>
      </x:c>
      <x:c r="D34" s="105" t="s">
        <x:v>370</x:v>
      </x:c>
      <x:c r="E34" s="106" t="s">
        <x:v>69</x:v>
      </x:c>
      <x:c r="F34" s="89" t="s">
        <x:v>230</x:v>
      </x:c>
      <x:c r="G34" s="107" t="s">
        <x:v>74</x:v>
      </x:c>
      <x:c r="H34" s="105" t="s">
        <x:v>237</x:v>
      </x:c>
      <x:c r="I34" s="105" t="s">
        <x:v>104</x:v>
      </x:c>
      <x:c r="J34" s="104" t="s">
        <x:v>268</x:v>
      </x:c>
      <x:c r="K34" s="105" t="s">
        <x:v>232</x:v>
      </x:c>
      <x:c r="L34" s="104" t="s">
        <x:v>371</x:v>
      </x:c>
      <x:c r="M34" s="104" t="s">
        <x:v>357</x:v>
      </x:c>
      <x:c r="N34" s="104" t="s">
        <x:v>234</x:v>
      </x:c>
      <x:c r="O34" s="104" t="s">
        <x:v>372</x:v>
      </x:c>
    </x:row>
    <x:row r="35" ht="29.049999237060547" customHeight="1">
      <x:c r="A35" s="108">
        <x:v>34</x:v>
      </x:c>
      <x:c r="B35" s="109" t="s">
        <x:v>104</x:v>
      </x:c>
      <x:c r="C35" s="108" t="s">
        <x:v>373</x:v>
      </x:c>
      <x:c r="D35" s="109" t="s">
        <x:v>374</x:v>
      </x:c>
      <x:c r="E35" s="106" t="s">
        <x:v>69</x:v>
      </x:c>
      <x:c r="F35" s="89" t="s">
        <x:v>230</x:v>
      </x:c>
      <x:c r="G35" s="107" t="s">
        <x:v>74</x:v>
      </x:c>
      <x:c r="H35" s="109" t="s">
        <x:v>237</x:v>
      </x:c>
      <x:c r="I35" s="109" t="s">
        <x:v>104</x:v>
      </x:c>
      <x:c r="J35" s="108" t="s">
        <x:v>115</x:v>
      </x:c>
      <x:c r="K35" s="109" t="s">
        <x:v>232</x:v>
      </x:c>
      <x:c r="L35" s="108" t="s">
        <x:v>375</x:v>
      </x:c>
      <x:c r="M35" s="108" t="s">
        <x:v>357</x:v>
      </x:c>
      <x:c r="N35" s="108" t="s">
        <x:v>234</x:v>
      </x:c>
      <x:c r="O35" s="108" t="s">
        <x:v>376</x:v>
      </x:c>
    </x:row>
    <x:row r="36" ht="43.5" customHeight="1">
      <x:c r="A36" s="104">
        <x:v>35</x:v>
      </x:c>
      <x:c r="B36" s="105" t="s">
        <x:v>104</x:v>
      </x:c>
      <x:c r="C36" s="104" t="s">
        <x:v>377</x:v>
      </x:c>
      <x:c r="D36" s="105" t="s">
        <x:v>378</x:v>
      </x:c>
      <x:c r="E36" s="106" t="s">
        <x:v>69</x:v>
      </x:c>
      <x:c r="F36" s="89" t="s">
        <x:v>230</x:v>
      </x:c>
      <x:c r="G36" s="107" t="s">
        <x:v>74</x:v>
      </x:c>
      <x:c r="H36" s="105" t="s">
        <x:v>237</x:v>
      </x:c>
      <x:c r="I36" s="105" t="s">
        <x:v>104</x:v>
      </x:c>
      <x:c r="J36" s="104" t="s">
        <x:v>268</x:v>
      </x:c>
      <x:c r="K36" s="105" t="s">
        <x:v>232</x:v>
      </x:c>
      <x:c r="L36" s="104" t="s">
        <x:v>379</x:v>
      </x:c>
      <x:c r="M36" s="104" t="s">
        <x:v>380</x:v>
      </x:c>
      <x:c r="N36" s="104" t="s">
        <x:v>381</x:v>
      </x:c>
      <x:c r="O36" s="104" t="s">
        <x:v>382</x:v>
      </x:c>
    </x:row>
    <x:row r="37" ht="58" customHeight="1">
      <x:c r="A37" s="108">
        <x:v>36</x:v>
      </x:c>
      <x:c r="B37" s="109" t="s">
        <x:v>104</x:v>
      </x:c>
      <x:c r="C37" s="108" t="s">
        <x:v>383</x:v>
      </x:c>
      <x:c r="D37" s="109" t="s">
        <x:v>384</x:v>
      </x:c>
      <x:c r="E37" s="106" t="s">
        <x:v>69</x:v>
      </x:c>
      <x:c r="F37" s="89" t="s">
        <x:v>230</x:v>
      </x:c>
      <x:c r="G37" s="107" t="s">
        <x:v>74</x:v>
      </x:c>
      <x:c r="H37" s="109" t="s">
        <x:v>237</x:v>
      </x:c>
      <x:c r="I37" s="109" t="s">
        <x:v>104</x:v>
      </x:c>
      <x:c r="J37" s="108" t="s">
        <x:v>115</x:v>
      </x:c>
      <x:c r="K37" s="109" t="s">
        <x:v>232</x:v>
      </x:c>
      <x:c r="L37" s="108" t="s">
        <x:v>385</x:v>
      </x:c>
      <x:c r="M37" s="108" t="s">
        <x:v>380</x:v>
      </x:c>
      <x:c r="N37" s="108" t="s">
        <x:v>386</x:v>
      </x:c>
      <x:c r="O37" s="109" t="s">
        <x:v>387</x:v>
      </x:c>
    </x:row>
    <x:row r="38" ht="43.5" customHeight="1">
      <x:c r="A38" s="104">
        <x:v>37</x:v>
      </x:c>
      <x:c r="B38" s="105" t="s">
        <x:v>104</x:v>
      </x:c>
      <x:c r="C38" s="104" t="s">
        <x:v>388</x:v>
      </x:c>
      <x:c r="D38" s="105" t="s">
        <x:v>389</x:v>
      </x:c>
      <x:c r="E38" s="106" t="s">
        <x:v>69</x:v>
      </x:c>
      <x:c r="F38" s="89" t="s">
        <x:v>230</x:v>
      </x:c>
      <x:c r="G38" s="107" t="s">
        <x:v>74</x:v>
      </x:c>
      <x:c r="H38" s="105" t="s">
        <x:v>237</x:v>
      </x:c>
      <x:c r="I38" s="105" t="s">
        <x:v>104</x:v>
      </x:c>
      <x:c r="J38" s="104" t="s">
        <x:v>115</x:v>
      </x:c>
      <x:c r="K38" s="105" t="s">
        <x:v>232</x:v>
      </x:c>
      <x:c r="L38" s="104" t="s">
        <x:v>390</x:v>
      </x:c>
      <x:c r="M38" s="104" t="s">
        <x:v>380</x:v>
      </x:c>
      <x:c r="N38" s="104" t="s">
        <x:v>234</x:v>
      </x:c>
      <x:c r="O38" s="105" t="s">
        <x:v>391</x:v>
      </x:c>
    </x:row>
    <x:row r="39" ht="29.049999237060547" customHeight="1">
      <x:c r="A39" s="108">
        <x:v>38</x:v>
      </x:c>
      <x:c r="B39" s="109" t="s">
        <x:v>104</x:v>
      </x:c>
      <x:c r="C39" s="108" t="s">
        <x:v>392</x:v>
      </x:c>
      <x:c r="D39" s="109" t="s">
        <x:v>393</x:v>
      </x:c>
      <x:c r="E39" s="106" t="s">
        <x:v>69</x:v>
      </x:c>
      <x:c r="F39" s="89" t="s">
        <x:v>230</x:v>
      </x:c>
      <x:c r="G39" s="107" t="s">
        <x:v>74</x:v>
      </x:c>
      <x:c r="H39" s="109" t="s">
        <x:v>231</x:v>
      </x:c>
      <x:c r="I39" s="109" t="s">
        <x:v>104</x:v>
      </x:c>
      <x:c r="J39" s="108" t="s">
        <x:v>105</x:v>
      </x:c>
      <x:c r="K39" s="109" t="s">
        <x:v>232</x:v>
      </x:c>
      <x:c r="L39" s="108" t="s">
        <x:v>394</x:v>
      </x:c>
      <x:c r="M39" s="108" t="s">
        <x:v>380</x:v>
      </x:c>
      <x:c r="N39" s="108" t="s">
        <x:v>238</x:v>
      </x:c>
      <x:c r="O39" s="108" t="s">
        <x:v>395</x:v>
      </x:c>
    </x:row>
    <x:row r="40" ht="30.450000762939453" customHeight="1">
      <x:c r="A40" s="104">
        <x:v>39</x:v>
      </x:c>
      <x:c r="B40" s="105" t="s">
        <x:v>104</x:v>
      </x:c>
      <x:c r="C40" s="104" t="s">
        <x:v>396</x:v>
      </x:c>
      <x:c r="D40" s="105" t="s">
        <x:v>397</x:v>
      </x:c>
      <x:c r="E40" s="110" t="s">
        <x:v>77</x:v>
      </x:c>
      <x:c r="F40" s="89" t="s">
        <x:v>230</x:v>
      </x:c>
      <x:c r="G40" s="107" t="s">
        <x:v>74</x:v>
      </x:c>
      <x:c r="H40" s="105" t="s">
        <x:v>237</x:v>
      </x:c>
      <x:c r="I40" s="105" t="s">
        <x:v>104</x:v>
      </x:c>
      <x:c r="J40" s="104" t="s">
        <x:v>398</x:v>
      </x:c>
      <x:c r="K40" s="105" t="s">
        <x:v>232</x:v>
      </x:c>
      <x:c r="L40" s="104" t="s">
        <x:v>399</x:v>
      </x:c>
      <x:c r="M40" s="104" t="s">
        <x:v>400</x:v>
      </x:c>
      <x:c r="N40" s="104" t="s">
        <x:v>234</x:v>
      </x:c>
      <x:c r="O40" s="104" t="s">
        <x:v>310</x:v>
      </x:c>
    </x:row>
    <x:row r="41" ht="43.5" customHeight="1">
      <x:c r="A41" s="108">
        <x:v>40</x:v>
      </x:c>
      <x:c r="B41" s="109" t="s">
        <x:v>104</x:v>
      </x:c>
      <x:c r="C41" s="108" t="s">
        <x:v>401</x:v>
      </x:c>
      <x:c r="D41" s="109" t="s">
        <x:v>402</x:v>
      </x:c>
      <x:c r="E41" s="106" t="s">
        <x:v>69</x:v>
      </x:c>
      <x:c r="F41" s="89" t="s">
        <x:v>230</x:v>
      </x:c>
      <x:c r="G41" s="107" t="s">
        <x:v>74</x:v>
      </x:c>
      <x:c r="H41" s="109" t="s">
        <x:v>237</x:v>
      </x:c>
      <x:c r="I41" s="109" t="s">
        <x:v>104</x:v>
      </x:c>
      <x:c r="J41" s="108" t="s">
        <x:v>268</x:v>
      </x:c>
      <x:c r="K41" s="109" t="s">
        <x:v>232</x:v>
      </x:c>
      <x:c r="L41" s="108" t="s">
        <x:v>403</x:v>
      </x:c>
      <x:c r="M41" s="108" t="s">
        <x:v>404</x:v>
      </x:c>
      <x:c r="N41" s="108" t="s">
        <x:v>405</x:v>
      </x:c>
      <x:c r="O41" s="108" t="s">
        <x:v>406</x:v>
      </x:c>
    </x:row>
    <x:row r="42" ht="29.049999237060547" customHeight="1">
      <x:c r="A42" s="104">
        <x:v>41</x:v>
      </x:c>
      <x:c r="B42" s="105" t="s">
        <x:v>104</x:v>
      </x:c>
      <x:c r="C42" s="104" t="s">
        <x:v>407</x:v>
      </x:c>
      <x:c r="D42" s="105" t="s">
        <x:v>408</x:v>
      </x:c>
      <x:c r="E42" s="106" t="s">
        <x:v>69</x:v>
      </x:c>
      <x:c r="F42" s="89" t="s">
        <x:v>230</x:v>
      </x:c>
      <x:c r="G42" s="107" t="s">
        <x:v>74</x:v>
      </x:c>
      <x:c r="H42" s="105" t="s">
        <x:v>237</x:v>
      </x:c>
      <x:c r="I42" s="105" t="s">
        <x:v>104</x:v>
      </x:c>
      <x:c r="J42" s="104" t="s">
        <x:v>268</x:v>
      </x:c>
      <x:c r="K42" s="105" t="s">
        <x:v>232</x:v>
      </x:c>
      <x:c r="L42" s="104" t="s">
        <x:v>409</x:v>
      </x:c>
      <x:c r="M42" s="104" t="s">
        <x:v>404</x:v>
      </x:c>
      <x:c r="N42" s="104" t="s">
        <x:v>410</x:v>
      </x:c>
      <x:c r="O42" s="104" t="s">
        <x:v>411</x:v>
      </x:c>
    </x:row>
    <x:row r="43" ht="43.5" customHeight="1">
      <x:c r="A43" s="108">
        <x:v>42</x:v>
      </x:c>
      <x:c r="B43" s="109" t="s">
        <x:v>104</x:v>
      </x:c>
      <x:c r="C43" s="108" t="s">
        <x:v>412</x:v>
      </x:c>
      <x:c r="D43" s="109" t="s">
        <x:v>413</x:v>
      </x:c>
      <x:c r="E43" s="106" t="s">
        <x:v>69</x:v>
      </x:c>
      <x:c r="F43" s="89" t="s">
        <x:v>230</x:v>
      </x:c>
      <x:c r="G43" s="107" t="s">
        <x:v>74</x:v>
      </x:c>
      <x:c r="H43" s="109" t="s">
        <x:v>237</x:v>
      </x:c>
      <x:c r="I43" s="109" t="s">
        <x:v>104</x:v>
      </x:c>
      <x:c r="J43" s="108" t="s">
        <x:v>115</x:v>
      </x:c>
      <x:c r="K43" s="109" t="s">
        <x:v>232</x:v>
      </x:c>
      <x:c r="L43" s="108" t="s">
        <x:v>414</x:v>
      </x:c>
      <x:c r="M43" s="108" t="s">
        <x:v>415</x:v>
      </x:c>
      <x:c r="N43" s="108" t="s">
        <x:v>416</x:v>
      </x:c>
      <x:c r="O43" s="108" t="s">
        <x:v>417</x:v>
      </x:c>
    </x:row>
    <x:row r="44" ht="29.049999237060547" customHeight="1">
      <x:c r="A44" s="104">
        <x:v>43</x:v>
      </x:c>
      <x:c r="B44" s="105" t="s">
        <x:v>104</x:v>
      </x:c>
      <x:c r="C44" s="104" t="s">
        <x:v>418</x:v>
      </x:c>
      <x:c r="D44" s="105" t="s">
        <x:v>419</x:v>
      </x:c>
      <x:c r="E44" s="106" t="s">
        <x:v>69</x:v>
      </x:c>
      <x:c r="F44" s="89" t="s">
        <x:v>230</x:v>
      </x:c>
      <x:c r="G44" s="107" t="s">
        <x:v>74</x:v>
      </x:c>
      <x:c r="H44" s="105" t="s">
        <x:v>237</x:v>
      </x:c>
      <x:c r="I44" s="105" t="s">
        <x:v>104</x:v>
      </x:c>
      <x:c r="J44" s="104" t="s">
        <x:v>268</x:v>
      </x:c>
      <x:c r="K44" s="105" t="s">
        <x:v>232</x:v>
      </x:c>
      <x:c r="L44" s="104" t="s">
        <x:v>420</x:v>
      </x:c>
      <x:c r="M44" s="104" t="s">
        <x:v>415</x:v>
      </x:c>
      <x:c r="N44" s="104" t="s">
        <x:v>234</x:v>
      </x:c>
      <x:c r="O44" s="104" t="s">
        <x:v>421</x:v>
      </x:c>
    </x:row>
    <x:row r="45" ht="29.049999237060547" customHeight="1">
      <x:c r="A45" s="108">
        <x:v>44</x:v>
      </x:c>
      <x:c r="B45" s="109" t="s">
        <x:v>104</x:v>
      </x:c>
      <x:c r="C45" s="108" t="s">
        <x:v>422</x:v>
      </x:c>
      <x:c r="D45" s="109" t="s">
        <x:v>423</x:v>
      </x:c>
      <x:c r="E45" s="106" t="s">
        <x:v>69</x:v>
      </x:c>
      <x:c r="F45" s="89" t="s">
        <x:v>230</x:v>
      </x:c>
      <x:c r="G45" s="111" t="s">
        <x:v>83</x:v>
      </x:c>
      <x:c r="H45" s="109" t="s">
        <x:v>231</x:v>
      </x:c>
      <x:c r="I45" s="109" t="s">
        <x:v>104</x:v>
      </x:c>
      <x:c r="J45" s="108" t="s">
        <x:v>268</x:v>
      </x:c>
      <x:c r="K45" s="109" t="s">
        <x:v>232</x:v>
      </x:c>
      <x:c r="L45" s="108" t="s">
        <x:v>424</x:v>
      </x:c>
      <x:c r="M45" s="108" t="s">
        <x:v>415</x:v>
      </x:c>
      <x:c r="N45" s="108" t="s">
        <x:v>251</x:v>
      </x:c>
      <x:c r="O45" s="108" t="s">
        <x:v>425</x:v>
      </x:c>
    </x:row>
    <x:row r="46" ht="29.049999237060547" customHeight="1">
      <x:c r="A46" s="104">
        <x:v>45</x:v>
      </x:c>
      <x:c r="B46" s="105" t="s">
        <x:v>104</x:v>
      </x:c>
      <x:c r="C46" s="104" t="s">
        <x:v>426</x:v>
      </x:c>
      <x:c r="D46" s="105" t="s">
        <x:v>427</x:v>
      </x:c>
      <x:c r="E46" s="106" t="s">
        <x:v>69</x:v>
      </x:c>
      <x:c r="F46" s="89" t="s">
        <x:v>230</x:v>
      </x:c>
      <x:c r="G46" s="111" t="s">
        <x:v>83</x:v>
      </x:c>
      <x:c r="H46" s="105" t="s">
        <x:v>231</x:v>
      </x:c>
      <x:c r="I46" s="105" t="s">
        <x:v>104</x:v>
      </x:c>
      <x:c r="J46" s="104" t="s">
        <x:v>105</x:v>
      </x:c>
      <x:c r="K46" s="105" t="s">
        <x:v>232</x:v>
      </x:c>
      <x:c r="L46" s="104" t="s">
        <x:v>428</x:v>
      </x:c>
      <x:c r="M46" s="104" t="s">
        <x:v>415</x:v>
      </x:c>
      <x:c r="N46" s="104" t="s">
        <x:v>238</x:v>
      </x:c>
      <x:c r="O46" s="104" t="s">
        <x:v>429</x:v>
      </x:c>
    </x:row>
    <x:row r="47" ht="43.5" customHeight="1">
      <x:c r="A47" s="108">
        <x:v>46</x:v>
      </x:c>
      <x:c r="B47" s="109" t="s">
        <x:v>104</x:v>
      </x:c>
      <x:c r="C47" s="108" t="s">
        <x:v>430</x:v>
      </x:c>
      <x:c r="D47" s="109" t="s">
        <x:v>431</x:v>
      </x:c>
      <x:c r="E47" s="106" t="s">
        <x:v>69</x:v>
      </x:c>
      <x:c r="F47" s="89" t="s">
        <x:v>230</x:v>
      </x:c>
      <x:c r="G47" s="107" t="s">
        <x:v>74</x:v>
      </x:c>
      <x:c r="H47" s="109" t="s">
        <x:v>237</x:v>
      </x:c>
      <x:c r="I47" s="109" t="s">
        <x:v>104</x:v>
      </x:c>
      <x:c r="J47" s="108" t="s">
        <x:v>268</x:v>
      </x:c>
      <x:c r="K47" s="109" t="s">
        <x:v>232</x:v>
      </x:c>
      <x:c r="L47" s="108" t="s">
        <x:v>432</x:v>
      </x:c>
      <x:c r="M47" s="108" t="s">
        <x:v>433</x:v>
      </x:c>
      <x:c r="N47" s="108" t="s">
        <x:v>349</x:v>
      </x:c>
      <x:c r="O47" s="108" t="s">
        <x:v>434</x:v>
      </x:c>
    </x:row>
    <x:row r="48" ht="29.049999237060547" customHeight="1">
      <x:c r="A48" s="104">
        <x:v>47</x:v>
      </x:c>
      <x:c r="B48" s="105" t="s">
        <x:v>104</x:v>
      </x:c>
      <x:c r="C48" s="104" t="s">
        <x:v>435</x:v>
      </x:c>
      <x:c r="D48" s="105" t="s">
        <x:v>436</x:v>
      </x:c>
      <x:c r="E48" s="106" t="s">
        <x:v>69</x:v>
      </x:c>
      <x:c r="F48" s="89" t="s">
        <x:v>230</x:v>
      </x:c>
      <x:c r="G48" s="107" t="s">
        <x:v>74</x:v>
      </x:c>
      <x:c r="H48" s="105" t="s">
        <x:v>237</x:v>
      </x:c>
      <x:c r="I48" s="105" t="s">
        <x:v>104</x:v>
      </x:c>
      <x:c r="J48" s="104" t="s">
        <x:v>105</x:v>
      </x:c>
      <x:c r="K48" s="105" t="s">
        <x:v>232</x:v>
      </x:c>
      <x:c r="L48" s="104" t="s">
        <x:v>437</x:v>
      </x:c>
      <x:c r="M48" s="104" t="s">
        <x:v>433</x:v>
      </x:c>
      <x:c r="N48" s="104" t="s">
        <x:v>438</x:v>
      </x:c>
      <x:c r="O48" s="104" t="s">
        <x:v>439</x:v>
      </x:c>
    </x:row>
    <x:row r="49" ht="30.450000762939453" customHeight="1">
      <x:c r="A49" s="108">
        <x:v>48</x:v>
      </x:c>
      <x:c r="B49" s="109" t="s">
        <x:v>104</x:v>
      </x:c>
      <x:c r="C49" s="108" t="s">
        <x:v>440</x:v>
      </x:c>
      <x:c r="D49" s="109" t="s">
        <x:v>441</x:v>
      </x:c>
      <x:c r="E49" s="110" t="s">
        <x:v>77</x:v>
      </x:c>
      <x:c r="F49" s="89" t="s">
        <x:v>230</x:v>
      </x:c>
      <x:c r="G49" s="107" t="s">
        <x:v>74</x:v>
      </x:c>
      <x:c r="H49" s="109" t="s">
        <x:v>237</x:v>
      </x:c>
      <x:c r="I49" s="109" t="s">
        <x:v>104</x:v>
      </x:c>
      <x:c r="J49" s="108" t="s">
        <x:v>268</x:v>
      </x:c>
      <x:c r="K49" s="109" t="s">
        <x:v>232</x:v>
      </x:c>
      <x:c r="L49" s="108" t="s">
        <x:v>442</x:v>
      </x:c>
      <x:c r="M49" s="108" t="s">
        <x:v>443</x:v>
      </x:c>
      <x:c r="N49" s="108" t="s">
        <x:v>444</x:v>
      </x:c>
      <x:c r="O49" s="108" t="s">
        <x:v>445</x:v>
      </x:c>
    </x:row>
    <x:row r="50" ht="30" customHeight="1">
      <x:c r="A50" s="104">
        <x:v>49</x:v>
      </x:c>
      <x:c r="B50" s="105" t="s">
        <x:v>104</x:v>
      </x:c>
      <x:c r="C50" s="104" t="s">
        <x:v>446</x:v>
      </x:c>
      <x:c r="D50" s="105" t="s">
        <x:v>447</x:v>
      </x:c>
      <x:c r="E50" s="110" t="s">
        <x:v>77</x:v>
      </x:c>
      <x:c r="F50" s="89" t="s">
        <x:v>230</x:v>
      </x:c>
      <x:c r="G50" s="107" t="s">
        <x:v>74</x:v>
      </x:c>
      <x:c r="H50" s="105" t="s">
        <x:v>237</x:v>
      </x:c>
      <x:c r="I50" s="105" t="s">
        <x:v>104</x:v>
      </x:c>
      <x:c r="J50" s="104" t="s">
        <x:v>268</x:v>
      </x:c>
      <x:c r="K50" s="105" t="s">
        <x:v>232</x:v>
      </x:c>
      <x:c r="L50" s="104" t="s">
        <x:v>448</x:v>
      </x:c>
      <x:c r="M50" s="104" t="s">
        <x:v>443</x:v>
      </x:c>
      <x:c r="N50" s="104" t="s">
        <x:v>449</x:v>
      </x:c>
      <x:c r="O50" s="104" t="s">
        <x:v>450</x:v>
      </x:c>
    </x:row>
    <x:row r="51" ht="30" customHeight="1">
      <x:c r="A51" s="108">
        <x:v>50</x:v>
      </x:c>
      <x:c r="B51" s="109" t="s">
        <x:v>104</x:v>
      </x:c>
      <x:c r="C51" s="108" t="s">
        <x:v>451</x:v>
      </x:c>
      <x:c r="D51" s="109" t="s">
        <x:v>452</x:v>
      </x:c>
      <x:c r="E51" s="110" t="s">
        <x:v>77</x:v>
      </x:c>
      <x:c r="F51" s="95" t="s">
        <x:v>267</x:v>
      </x:c>
      <x:c r="G51" s="112" t="s">
        <x:v>92</x:v>
      </x:c>
      <x:c r="H51" s="109" t="s">
        <x:v>237</x:v>
      </x:c>
      <x:c r="I51" s="109" t="s">
        <x:v>104</x:v>
      </x:c>
      <x:c r="J51" s="108" t="s">
        <x:v>105</x:v>
      </x:c>
      <x:c r="K51" s="109" t="s">
        <x:v>232</x:v>
      </x:c>
      <x:c r="L51" s="108" t="s">
        <x:v>453</x:v>
      </x:c>
      <x:c r="M51" s="108" t="s">
        <x:v>443</x:v>
      </x:c>
      <x:c r="N51" s="108" t="s">
        <x:v>234</x:v>
      </x:c>
      <x:c r="O51" s="108" t="s">
        <x:v>270</x:v>
      </x:c>
    </x:row>
    <x:row r="52" ht="58" customHeight="1">
      <x:c r="A52" s="104">
        <x:v>51</x:v>
      </x:c>
      <x:c r="B52" s="105" t="s">
        <x:v>104</x:v>
      </x:c>
      <x:c r="C52" s="104" t="s">
        <x:v>454</x:v>
      </x:c>
      <x:c r="D52" s="105" t="s">
        <x:v>455</x:v>
      </x:c>
      <x:c r="E52" s="106" t="s">
        <x:v>69</x:v>
      </x:c>
      <x:c r="F52" s="89" t="s">
        <x:v>230</x:v>
      </x:c>
      <x:c r="G52" s="111" t="s">
        <x:v>83</x:v>
      </x:c>
      <x:c r="H52" s="105" t="s">
        <x:v>231</x:v>
      </x:c>
      <x:c r="I52" s="105" t="s">
        <x:v>104</x:v>
      </x:c>
      <x:c r="J52" s="104" t="s">
        <x:v>456</x:v>
      </x:c>
      <x:c r="K52" s="105" t="s">
        <x:v>232</x:v>
      </x:c>
      <x:c r="L52" s="104" t="s">
        <x:v>457</x:v>
      </x:c>
      <x:c r="M52" s="104" t="s">
        <x:v>458</x:v>
      </x:c>
      <x:c r="N52" s="104" t="s">
        <x:v>234</x:v>
      </x:c>
      <x:c r="O52" s="105" t="s">
        <x:v>459</x:v>
      </x:c>
    </x:row>
    <x:row r="53" ht="84" customHeight="1">
      <x:c r="A53" s="108">
        <x:v>52</x:v>
      </x:c>
      <x:c r="B53" s="109" t="s">
        <x:v>104</x:v>
      </x:c>
      <x:c r="C53" s="108" t="s">
        <x:v>460</x:v>
      </x:c>
      <x:c r="D53" s="109" t="s">
        <x:v>461</x:v>
      </x:c>
      <x:c r="E53" s="110" t="s">
        <x:v>77</x:v>
      </x:c>
      <x:c r="F53" s="95" t="s">
        <x:v>267</x:v>
      </x:c>
      <x:c r="G53" s="111" t="s">
        <x:v>83</x:v>
      </x:c>
      <x:c r="H53" s="109" t="s">
        <x:v>231</x:v>
      </x:c>
      <x:c r="I53" s="109" t="s">
        <x:v>104</x:v>
      </x:c>
      <x:c r="J53" s="108" t="s">
        <x:v>456</x:v>
      </x:c>
      <x:c r="K53" s="109" t="s">
        <x:v>232</x:v>
      </x:c>
      <x:c r="L53" s="108" t="s">
        <x:v>462</x:v>
      </x:c>
      <x:c r="M53" s="108" t="s">
        <x:v>458</x:v>
      </x:c>
      <x:c r="N53" s="108" t="s">
        <x:v>238</x:v>
      </x:c>
      <x:c r="O53" s="109" t="s">
        <x:v>463</x:v>
      </x:c>
    </x:row>
    <x:row r="54" ht="30" customHeight="1">
      <x:c r="A54" s="104">
        <x:v>53</x:v>
      </x:c>
      <x:c r="B54" s="105" t="s">
        <x:v>104</x:v>
      </x:c>
      <x:c r="C54" s="104" t="s">
        <x:v>464</x:v>
      </x:c>
      <x:c r="D54" s="105" t="str">
        <x:v>대사 결과 Excel 보고서 출력</x:v>
      </x:c>
      <x:c r="E54" s="110" t="s">
        <x:v>77</x:v>
      </x:c>
      <x:c r="F54" s="138" t="str">
        <x:v>후순위</x:v>
      </x:c>
      <x:c r="G54" s="107" t="str">
        <x:v>M</x:v>
      </x:c>
      <x:c r="H54" s="105" t="str">
        <x:v>중</x:v>
      </x:c>
      <x:c r="I54" s="105" t="s">
        <x:v>104</x:v>
      </x:c>
      <x:c r="J54" s="104" t="s">
        <x:v>456</x:v>
      </x:c>
      <x:c r="K54" s="105" t="str">
        <x:v>보류</x:v>
      </x:c>
      <x:c r="L54" s="104" t="str">
        <x:v>FGC-FUN-048,FGC-FUN-049,FGC-FUN-051</x:v>
      </x:c>
      <x:c r="M54" s="104" t="s">
        <x:v>458</x:v>
      </x:c>
      <x:c r="N54" s="104" t="str">
        <x:v>SRC-005,SRC-006,SRC-027</x:v>
      </x:c>
      <x:c r="O54" s="104" t="str">
        <x:v>v3.0 (2026-10-27, 현준 회의 반영): 논의후 진행→후순위(M 유지). 정산·대사 보고서에서 대사 결과만 출력하도록 축소하고 대사 화면에 통합한다. 일반 정산/PDF 출력 제외.</x:v>
      </x:c>
    </x:row>
    <x:row r="55" ht="74" customHeight="1">
      <x:c r="A55" s="108">
        <x:v>54</x:v>
      </x:c>
      <x:c r="B55" s="109" t="s">
        <x:v>104</x:v>
      </x:c>
      <x:c r="C55" s="108" t="s">
        <x:v>465</x:v>
      </x:c>
      <x:c r="D55" s="109" t="s">
        <x:v>466</x:v>
      </x:c>
      <x:c r="E55" s="110" t="s">
        <x:v>77</x:v>
      </x:c>
      <x:c r="F55" s="139" t="str">
        <x:v>진행</x:v>
      </x:c>
      <x:c r="G55" s="111" t="s">
        <x:v>83</x:v>
      </x:c>
      <x:c r="H55" s="109" t="s">
        <x:v>237</x:v>
      </x:c>
      <x:c r="I55" s="109" t="s">
        <x:v>104</x:v>
      </x:c>
      <x:c r="J55" s="108" t="s">
        <x:v>456</x:v>
      </x:c>
      <x:c r="K55" s="109" t="s">
        <x:v>232</x:v>
      </x:c>
      <x:c r="L55" s="108" t="str">
        <x:v>FGC-FUN-036,FGC-FUN-046,FGC-FUN-055,FGC-FUN-085</x:v>
      </x:c>
      <x:c r="M55" s="108" t="s">
        <x:v>458</x:v>
      </x:c>
      <x:c r="N55" s="108" t="s">
        <x:v>467</x:v>
      </x:c>
      <x:c r="O55" s="108" t="str">
        <x:v>v3.0 (2026-10-27, 현준 최종 회의 반영): 논의후 진행→진행. 본인 수수료 명세와085 본인 범위 유지.</x:v>
      </x:c>
    </x:row>
    <x:row r="56" ht="43.5" customHeight="1">
      <x:c r="A56" s="104">
        <x:v>55</x:v>
      </x:c>
      <x:c r="B56" s="105" t="s">
        <x:v>104</x:v>
      </x:c>
      <x:c r="C56" s="104" t="s">
        <x:v>468</x:v>
      </x:c>
      <x:c r="D56" s="105" t="s">
        <x:v>469</x:v>
      </x:c>
      <x:c r="E56" s="106" t="s">
        <x:v>69</x:v>
      </x:c>
      <x:c r="F56" s="89" t="s">
        <x:v>230</x:v>
      </x:c>
      <x:c r="G56" s="107" t="s">
        <x:v>74</x:v>
      </x:c>
      <x:c r="H56" s="105" t="s">
        <x:v>237</x:v>
      </x:c>
      <x:c r="I56" s="105" t="s">
        <x:v>104</x:v>
      </x:c>
      <x:c r="J56" s="104" t="s">
        <x:v>470</x:v>
      </x:c>
      <x:c r="K56" s="105" t="s">
        <x:v>232</x:v>
      </x:c>
      <x:c r="L56" s="104" t="s">
        <x:v>471</x:v>
      </x:c>
      <x:c r="M56" s="104" t="s">
        <x:v>472</x:v>
      </x:c>
      <x:c r="N56" s="104" t="s">
        <x:v>473</x:v>
      </x:c>
      <x:c r="O56" s="104" t="s">
        <x:v>474</x:v>
      </x:c>
    </x:row>
    <x:row r="57" ht="43.650001525878906" customHeight="1">
      <x:c r="A57" s="108">
        <x:v>56</x:v>
      </x:c>
      <x:c r="B57" s="109" t="s">
        <x:v>104</x:v>
      </x:c>
      <x:c r="C57" s="108" t="s">
        <x:v>475</x:v>
      </x:c>
      <x:c r="D57" s="109" t="s">
        <x:v>476</x:v>
      </x:c>
      <x:c r="E57" s="110" t="s">
        <x:v>77</x:v>
      </x:c>
      <x:c r="F57" s="93" t="s">
        <x:v>241</x:v>
      </x:c>
      <x:c r="G57" s="107" t="s">
        <x:v>74</x:v>
      </x:c>
      <x:c r="H57" s="109" t="s">
        <x:v>237</x:v>
      </x:c>
      <x:c r="I57" s="109" t="s">
        <x:v>104</x:v>
      </x:c>
      <x:c r="J57" s="108" t="s">
        <x:v>268</x:v>
      </x:c>
      <x:c r="K57" s="109" t="s">
        <x:v>232</x:v>
      </x:c>
      <x:c r="L57" s="108" t="s">
        <x:v>477</x:v>
      </x:c>
      <x:c r="M57" s="108" t="s">
        <x:v>478</x:v>
      </x:c>
      <x:c r="N57" s="108" t="s">
        <x:v>479</x:v>
      </x:c>
      <x:c r="O57" s="108" t="s">
        <x:v>480</x:v>
      </x:c>
    </x:row>
    <x:row r="58" ht="18.450000762939453" hidden="1" customHeight="1">
      <x:c r="A58" s="104">
        <x:v>57</x:v>
      </x:c>
      <x:c r="B58" s="105" t="s">
        <x:v>108</x:v>
      </x:c>
      <x:c r="C58" s="104" t="s">
        <x:v>481</x:v>
      </x:c>
      <x:c r="D58" s="105" t="s">
        <x:v>482</x:v>
      </x:c>
      <x:c r="E58" s="113" t="s">
        <x:v>86</x:v>
      </x:c>
      <x:c r="F58" s="114"/>
      <x:c r="G58" s="107" t="s">
        <x:v>74</x:v>
      </x:c>
      <x:c r="H58" s="105" t="s">
        <x:v>231</x:v>
      </x:c>
      <x:c r="I58" s="105" t="s">
        <x:v>483</x:v>
      </x:c>
      <x:c r="J58" s="104" t="s">
        <x:v>109</x:v>
      </x:c>
      <x:c r="K58" s="105" t="s">
        <x:v>232</x:v>
      </x:c>
      <x:c r="L58" s="104"/>
      <x:c r="M58" s="104" t="s">
        <x:v>484</x:v>
      </x:c>
      <x:c r="N58" s="104" t="s">
        <x:v>238</x:v>
      </x:c>
      <x:c r="O58" s="104"/>
    </x:row>
    <x:row r="59" ht="18.450000762939453" hidden="1" customHeight="1">
      <x:c r="A59" s="108">
        <x:v>58</x:v>
      </x:c>
      <x:c r="B59" s="109" t="s">
        <x:v>108</x:v>
      </x:c>
      <x:c r="C59" s="108" t="s">
        <x:v>485</x:v>
      </x:c>
      <x:c r="D59" s="109" t="s">
        <x:v>486</x:v>
      </x:c>
      <x:c r="E59" s="110" t="s">
        <x:v>77</x:v>
      </x:c>
      <x:c r="F59" s="115"/>
      <x:c r="G59" s="107" t="s">
        <x:v>74</x:v>
      </x:c>
      <x:c r="H59" s="109" t="s">
        <x:v>237</x:v>
      </x:c>
      <x:c r="I59" s="109" t="s">
        <x:v>483</x:v>
      </x:c>
      <x:c r="J59" s="108" t="s">
        <x:v>487</x:v>
      </x:c>
      <x:c r="K59" s="109" t="s">
        <x:v>232</x:v>
      </x:c>
      <x:c r="L59" s="108"/>
      <x:c r="M59" s="108" t="s">
        <x:v>484</x:v>
      </x:c>
      <x:c r="N59" s="108" t="s">
        <x:v>251</x:v>
      </x:c>
      <x:c r="O59" s="108"/>
    </x:row>
    <x:row r="60" ht="7.400000095367432" hidden="1" customHeight="1">
      <x:c r="A60" s="104">
        <x:v>59</x:v>
      </x:c>
      <x:c r="B60" s="105" t="s">
        <x:v>108</x:v>
      </x:c>
      <x:c r="C60" s="104" t="s">
        <x:v>488</x:v>
      </x:c>
      <x:c r="D60" s="105" t="s">
        <x:v>489</x:v>
      </x:c>
      <x:c r="E60" s="110" t="s">
        <x:v>77</x:v>
      </x:c>
      <x:c r="F60" s="114"/>
      <x:c r="G60" s="111" t="s">
        <x:v>83</x:v>
      </x:c>
      <x:c r="H60" s="105" t="s">
        <x:v>231</x:v>
      </x:c>
      <x:c r="I60" s="105" t="s">
        <x:v>483</x:v>
      </x:c>
      <x:c r="J60" s="104" t="s">
        <x:v>490</x:v>
      </x:c>
      <x:c r="K60" s="105" t="s">
        <x:v>232</x:v>
      </x:c>
      <x:c r="L60" s="104"/>
      <x:c r="M60" s="104" t="s">
        <x:v>484</x:v>
      </x:c>
      <x:c r="N60" s="104" t="s">
        <x:v>251</x:v>
      </x:c>
      <x:c r="O60" s="104"/>
    </x:row>
    <x:row r="61" ht="12.449999809265137" hidden="1" customHeight="1">
      <x:c r="A61" s="108">
        <x:v>60</x:v>
      </x:c>
      <x:c r="B61" s="109" t="s">
        <x:v>108</x:v>
      </x:c>
      <x:c r="C61" s="108" t="s">
        <x:v>491</x:v>
      </x:c>
      <x:c r="D61" s="109" t="s">
        <x:v>492</x:v>
      </x:c>
      <x:c r="E61" s="110" t="s">
        <x:v>77</x:v>
      </x:c>
      <x:c r="F61" s="115"/>
      <x:c r="G61" s="111" t="s">
        <x:v>83</x:v>
      </x:c>
      <x:c r="H61" s="109" t="s">
        <x:v>231</x:v>
      </x:c>
      <x:c r="I61" s="109" t="s">
        <x:v>483</x:v>
      </x:c>
      <x:c r="J61" s="108" t="s">
        <x:v>109</x:v>
      </x:c>
      <x:c r="K61" s="109" t="s">
        <x:v>232</x:v>
      </x:c>
      <x:c r="L61" s="108"/>
      <x:c r="M61" s="108" t="s">
        <x:v>484</x:v>
      </x:c>
      <x:c r="N61" s="108" t="s">
        <x:v>251</x:v>
      </x:c>
      <x:c r="O61" s="108"/>
    </x:row>
    <x:row r="62" ht="18.450000762939453" hidden="1" customHeight="1">
      <x:c r="A62" s="104">
        <x:v>61</x:v>
      </x:c>
      <x:c r="B62" s="105" t="s">
        <x:v>108</x:v>
      </x:c>
      <x:c r="C62" s="104" t="s">
        <x:v>493</x:v>
      </x:c>
      <x:c r="D62" s="105" t="s">
        <x:v>494</x:v>
      </x:c>
      <x:c r="E62" s="110" t="s">
        <x:v>77</x:v>
      </x:c>
      <x:c r="F62" s="114"/>
      <x:c r="G62" s="111" t="s">
        <x:v>83</x:v>
      </x:c>
      <x:c r="H62" s="105" t="s">
        <x:v>231</x:v>
      </x:c>
      <x:c r="I62" s="105" t="s">
        <x:v>483</x:v>
      </x:c>
      <x:c r="J62" s="104" t="s">
        <x:v>119</x:v>
      </x:c>
      <x:c r="K62" s="105" t="s">
        <x:v>232</x:v>
      </x:c>
      <x:c r="L62" s="104"/>
      <x:c r="M62" s="104" t="s">
        <x:v>495</x:v>
      </x:c>
      <x:c r="N62" s="104" t="s">
        <x:v>438</x:v>
      </x:c>
      <x:c r="O62" s="104"/>
    </x:row>
    <x:row r="63" ht="12.449999809265137" hidden="1" customHeight="1">
      <x:c r="A63" s="108">
        <x:v>62</x:v>
      </x:c>
      <x:c r="B63" s="109" t="s">
        <x:v>108</x:v>
      </x:c>
      <x:c r="C63" s="108" t="s">
        <x:v>496</x:v>
      </x:c>
      <x:c r="D63" s="109" t="s">
        <x:v>497</x:v>
      </x:c>
      <x:c r="E63" s="110" t="s">
        <x:v>77</x:v>
      </x:c>
      <x:c r="F63" s="115"/>
      <x:c r="G63" s="111" t="s">
        <x:v>83</x:v>
      </x:c>
      <x:c r="H63" s="109" t="s">
        <x:v>231</x:v>
      </x:c>
      <x:c r="I63" s="109" t="s">
        <x:v>483</x:v>
      </x:c>
      <x:c r="J63" s="108" t="s">
        <x:v>498</x:v>
      </x:c>
      <x:c r="K63" s="109" t="s">
        <x:v>232</x:v>
      </x:c>
      <x:c r="L63" s="108"/>
      <x:c r="M63" s="108" t="s">
        <x:v>484</x:v>
      </x:c>
      <x:c r="N63" s="108" t="s">
        <x:v>234</x:v>
      </x:c>
      <x:c r="O63" s="109" t="s">
        <x:v>499</x:v>
      </x:c>
    </x:row>
    <x:row r="64" ht="7.400000095367432" hidden="1" customHeight="1">
      <x:c r="A64" s="104">
        <x:v>63</x:v>
      </x:c>
      <x:c r="B64" s="105" t="s">
        <x:v>112</x:v>
      </x:c>
      <x:c r="C64" s="104" t="s">
        <x:v>500</x:v>
      </x:c>
      <x:c r="D64" s="105" t="s">
        <x:v>501</x:v>
      </x:c>
      <x:c r="E64" s="110" t="s">
        <x:v>77</x:v>
      </x:c>
      <x:c r="F64" s="114"/>
      <x:c r="G64" s="107" t="s">
        <x:v>74</x:v>
      </x:c>
      <x:c r="H64" s="105" t="s">
        <x:v>231</x:v>
      </x:c>
      <x:c r="I64" s="105" t="s">
        <x:v>483</x:v>
      </x:c>
      <x:c r="J64" s="104" t="s">
        <x:v>105</x:v>
      </x:c>
      <x:c r="K64" s="105" t="s">
        <x:v>232</x:v>
      </x:c>
      <x:c r="L64" s="104"/>
      <x:c r="M64" s="104" t="s">
        <x:v>502</x:v>
      </x:c>
      <x:c r="N64" s="104" t="s">
        <x:v>251</x:v>
      </x:c>
      <x:c r="O64" s="104"/>
    </x:row>
    <x:row r="65" ht="7.400000095367432" hidden="1" customHeight="1">
      <x:c r="A65" s="108">
        <x:v>64</x:v>
      </x:c>
      <x:c r="B65" s="109" t="s">
        <x:v>112</x:v>
      </x:c>
      <x:c r="C65" s="108" t="s">
        <x:v>503</x:v>
      </x:c>
      <x:c r="D65" s="109" t="s">
        <x:v>504</x:v>
      </x:c>
      <x:c r="E65" s="113" t="s">
        <x:v>86</x:v>
      </x:c>
      <x:c r="F65" s="115"/>
      <x:c r="G65" s="107" t="s">
        <x:v>74</x:v>
      </x:c>
      <x:c r="H65" s="109" t="s">
        <x:v>250</x:v>
      </x:c>
      <x:c r="I65" s="109" t="s">
        <x:v>483</x:v>
      </x:c>
      <x:c r="J65" s="108" t="s">
        <x:v>145</x:v>
      </x:c>
      <x:c r="K65" s="109" t="s">
        <x:v>232</x:v>
      </x:c>
      <x:c r="L65" s="108"/>
      <x:c r="M65" s="108" t="s">
        <x:v>502</x:v>
      </x:c>
      <x:c r="N65" s="108" t="s">
        <x:v>251</x:v>
      </x:c>
      <x:c r="O65" s="108"/>
    </x:row>
    <x:row r="66" ht="12.449999809265137" hidden="1" customHeight="1">
      <x:c r="A66" s="104">
        <x:v>65</x:v>
      </x:c>
      <x:c r="B66" s="105" t="s">
        <x:v>112</x:v>
      </x:c>
      <x:c r="C66" s="104" t="s">
        <x:v>505</x:v>
      </x:c>
      <x:c r="D66" s="105" t="s">
        <x:v>506</x:v>
      </x:c>
      <x:c r="E66" s="113" t="s">
        <x:v>86</x:v>
      </x:c>
      <x:c r="F66" s="114"/>
      <x:c r="G66" s="107" t="s">
        <x:v>74</x:v>
      </x:c>
      <x:c r="H66" s="105" t="s">
        <x:v>231</x:v>
      </x:c>
      <x:c r="I66" s="105" t="s">
        <x:v>483</x:v>
      </x:c>
      <x:c r="J66" s="104" t="s">
        <x:v>146</x:v>
      </x:c>
      <x:c r="K66" s="105" t="s">
        <x:v>232</x:v>
      </x:c>
      <x:c r="L66" s="104"/>
      <x:c r="M66" s="104" t="s">
        <x:v>507</x:v>
      </x:c>
      <x:c r="N66" s="104" t="s">
        <x:v>238</x:v>
      </x:c>
      <x:c r="O66" s="104"/>
    </x:row>
    <x:row r="67" ht="7.400000095367432" hidden="1" customHeight="1">
      <x:c r="A67" s="108">
        <x:v>66</x:v>
      </x:c>
      <x:c r="B67" s="109" t="s">
        <x:v>112</x:v>
      </x:c>
      <x:c r="C67" s="108" t="s">
        <x:v>508</x:v>
      </x:c>
      <x:c r="D67" s="109" t="s">
        <x:v>509</x:v>
      </x:c>
      <x:c r="E67" s="106" t="s">
        <x:v>69</x:v>
      </x:c>
      <x:c r="F67" s="115"/>
      <x:c r="G67" s="107" t="s">
        <x:v>74</x:v>
      </x:c>
      <x:c r="H67" s="109" t="s">
        <x:v>237</x:v>
      </x:c>
      <x:c r="I67" s="109" t="s">
        <x:v>483</x:v>
      </x:c>
      <x:c r="J67" s="108" t="s">
        <x:v>456</x:v>
      </x:c>
      <x:c r="K67" s="109" t="s">
        <x:v>232</x:v>
      </x:c>
      <x:c r="L67" s="108" t="s">
        <x:v>510</x:v>
      </x:c>
      <x:c r="M67" s="108" t="s">
        <x:v>507</x:v>
      </x:c>
      <x:c r="N67" s="109" t="s">
        <x:v>511</x:v>
      </x:c>
      <x:c r="O67" s="108" t="s">
        <x:v>512</x:v>
      </x:c>
    </x:row>
    <x:row r="68" ht="7.400000095367432" hidden="1" customHeight="1">
      <x:c r="A68" s="104">
        <x:v>67</x:v>
      </x:c>
      <x:c r="B68" s="105" t="s">
        <x:v>112</x:v>
      </x:c>
      <x:c r="C68" s="104" t="s">
        <x:v>513</x:v>
      </x:c>
      <x:c r="D68" s="105" t="s">
        <x:v>514</x:v>
      </x:c>
      <x:c r="E68" s="113" t="s">
        <x:v>86</x:v>
      </x:c>
      <x:c r="F68" s="114"/>
      <x:c r="G68" s="107" t="s">
        <x:v>74</x:v>
      </x:c>
      <x:c r="H68" s="105" t="s">
        <x:v>231</x:v>
      </x:c>
      <x:c r="I68" s="105" t="s">
        <x:v>483</x:v>
      </x:c>
      <x:c r="J68" s="104" t="s">
        <x:v>105</x:v>
      </x:c>
      <x:c r="K68" s="105" t="s">
        <x:v>232</x:v>
      </x:c>
      <x:c r="L68" s="104"/>
      <x:c r="M68" s="104" t="s">
        <x:v>502</x:v>
      </x:c>
      <x:c r="N68" s="104" t="s">
        <x:v>238</x:v>
      </x:c>
      <x:c r="O68" s="104"/>
    </x:row>
    <x:row r="69" ht="7.400000095367432" hidden="1" customHeight="1">
      <x:c r="A69" s="108">
        <x:v>68</x:v>
      </x:c>
      <x:c r="B69" s="109" t="s">
        <x:v>112</x:v>
      </x:c>
      <x:c r="C69" s="108" t="s">
        <x:v>515</x:v>
      </x:c>
      <x:c r="D69" s="109" t="s">
        <x:v>516</x:v>
      </x:c>
      <x:c r="E69" s="113" t="s">
        <x:v>86</x:v>
      </x:c>
      <x:c r="F69" s="115"/>
      <x:c r="G69" s="107" t="s">
        <x:v>74</x:v>
      </x:c>
      <x:c r="H69" s="109" t="s">
        <x:v>250</x:v>
      </x:c>
      <x:c r="I69" s="109" t="s">
        <x:v>483</x:v>
      </x:c>
      <x:c r="J69" s="108" t="s">
        <x:v>456</x:v>
      </x:c>
      <x:c r="K69" s="109" t="s">
        <x:v>232</x:v>
      </x:c>
      <x:c r="L69" s="108"/>
      <x:c r="M69" s="108" t="s">
        <x:v>507</x:v>
      </x:c>
      <x:c r="N69" s="108" t="s">
        <x:v>251</x:v>
      </x:c>
      <x:c r="O69" s="108"/>
    </x:row>
    <x:row r="70" ht="7.400000095367432" hidden="1" customHeight="1">
      <x:c r="A70" s="104">
        <x:v>69</x:v>
      </x:c>
      <x:c r="B70" s="105" t="s">
        <x:v>113</x:v>
      </x:c>
      <x:c r="C70" s="104" t="s">
        <x:v>517</x:v>
      </x:c>
      <x:c r="D70" s="105" t="s">
        <x:v>518</x:v>
      </x:c>
      <x:c r="E70" s="113" t="s">
        <x:v>86</x:v>
      </x:c>
      <x:c r="F70" s="114"/>
      <x:c r="G70" s="107" t="s">
        <x:v>74</x:v>
      </x:c>
      <x:c r="H70" s="105" t="s">
        <x:v>237</x:v>
      </x:c>
      <x:c r="I70" s="105" t="s">
        <x:v>483</x:v>
      </x:c>
      <x:c r="J70" s="104" t="s">
        <x:v>115</x:v>
      </x:c>
      <x:c r="K70" s="105" t="s">
        <x:v>232</x:v>
      </x:c>
      <x:c r="L70" s="104"/>
      <x:c r="M70" s="104" t="s">
        <x:v>519</x:v>
      </x:c>
      <x:c r="N70" s="104" t="s">
        <x:v>520</x:v>
      </x:c>
      <x:c r="O70" s="105" t="s">
        <x:v>521</x:v>
      </x:c>
    </x:row>
    <x:row r="71" ht="7.400000095367432" hidden="1" customHeight="1">
      <x:c r="A71" s="108">
        <x:v>70</x:v>
      </x:c>
      <x:c r="B71" s="109" t="s">
        <x:v>113</x:v>
      </x:c>
      <x:c r="C71" s="108" t="s">
        <x:v>522</x:v>
      </x:c>
      <x:c r="D71" s="109" t="s">
        <x:v>523</x:v>
      </x:c>
      <x:c r="E71" s="113" t="s">
        <x:v>86</x:v>
      </x:c>
      <x:c r="F71" s="115"/>
      <x:c r="G71" s="107" t="s">
        <x:v>74</x:v>
      </x:c>
      <x:c r="H71" s="109" t="s">
        <x:v>237</x:v>
      </x:c>
      <x:c r="I71" s="109" t="s">
        <x:v>483</x:v>
      </x:c>
      <x:c r="J71" s="108" t="s">
        <x:v>115</x:v>
      </x:c>
      <x:c r="K71" s="109" t="s">
        <x:v>232</x:v>
      </x:c>
      <x:c r="L71" s="108"/>
      <x:c r="M71" s="108" t="s">
        <x:v>519</x:v>
      </x:c>
      <x:c r="N71" s="108" t="s">
        <x:v>234</x:v>
      </x:c>
      <x:c r="O71" s="108"/>
    </x:row>
    <x:row r="72" ht="7.400000095367432" hidden="1" customHeight="1">
      <x:c r="A72" s="104">
        <x:v>71</x:v>
      </x:c>
      <x:c r="B72" s="105" t="s">
        <x:v>113</x:v>
      </x:c>
      <x:c r="C72" s="104" t="s">
        <x:v>524</x:v>
      </x:c>
      <x:c r="D72" s="105" t="s">
        <x:v>525</x:v>
      </x:c>
      <x:c r="E72" s="113" t="s">
        <x:v>86</x:v>
      </x:c>
      <x:c r="F72" s="114"/>
      <x:c r="G72" s="107" t="s">
        <x:v>74</x:v>
      </x:c>
      <x:c r="H72" s="105" t="s">
        <x:v>237</x:v>
      </x:c>
      <x:c r="I72" s="105" t="s">
        <x:v>483</x:v>
      </x:c>
      <x:c r="J72" s="104" t="s">
        <x:v>115</x:v>
      </x:c>
      <x:c r="K72" s="105" t="s">
        <x:v>232</x:v>
      </x:c>
      <x:c r="L72" s="104"/>
      <x:c r="M72" s="104" t="s">
        <x:v>519</x:v>
      </x:c>
      <x:c r="N72" s="104" t="s">
        <x:v>526</x:v>
      </x:c>
      <x:c r="O72" s="104" t="s">
        <x:v>527</x:v>
      </x:c>
    </x:row>
    <x:row r="73" ht="7.400000095367432" hidden="1" customHeight="1">
      <x:c r="A73" s="108">
        <x:v>72</x:v>
      </x:c>
      <x:c r="B73" s="109" t="s">
        <x:v>113</x:v>
      </x:c>
      <x:c r="C73" s="108" t="s">
        <x:v>528</x:v>
      </x:c>
      <x:c r="D73" s="109" t="s">
        <x:v>529</x:v>
      </x:c>
      <x:c r="E73" s="113" t="s">
        <x:v>86</x:v>
      </x:c>
      <x:c r="F73" s="115"/>
      <x:c r="G73" s="107" t="s">
        <x:v>74</x:v>
      </x:c>
      <x:c r="H73" s="109" t="s">
        <x:v>237</x:v>
      </x:c>
      <x:c r="I73" s="109" t="s">
        <x:v>483</x:v>
      </x:c>
      <x:c r="J73" s="108" t="s">
        <x:v>115</x:v>
      </x:c>
      <x:c r="K73" s="109" t="s">
        <x:v>232</x:v>
      </x:c>
      <x:c r="L73" s="108" t="s">
        <x:v>530</x:v>
      </x:c>
      <x:c r="M73" s="108" t="s">
        <x:v>519</x:v>
      </x:c>
      <x:c r="N73" s="108" t="s">
        <x:v>234</x:v>
      </x:c>
      <x:c r="O73" s="109" t="s">
        <x:v>531</x:v>
      </x:c>
    </x:row>
    <x:row r="74" ht="7.400000095367432" hidden="1" customHeight="1">
      <x:c r="A74" s="104">
        <x:v>73</x:v>
      </x:c>
      <x:c r="B74" s="105" t="s">
        <x:v>113</x:v>
      </x:c>
      <x:c r="C74" s="104" t="s">
        <x:v>532</x:v>
      </x:c>
      <x:c r="D74" s="105" t="s">
        <x:v>533</x:v>
      </x:c>
      <x:c r="E74" s="113" t="s">
        <x:v>86</x:v>
      </x:c>
      <x:c r="F74" s="114"/>
      <x:c r="G74" s="107" t="s">
        <x:v>74</x:v>
      </x:c>
      <x:c r="H74" s="105" t="s">
        <x:v>237</x:v>
      </x:c>
      <x:c r="I74" s="105" t="s">
        <x:v>483</x:v>
      </x:c>
      <x:c r="J74" s="104" t="s">
        <x:v>115</x:v>
      </x:c>
      <x:c r="K74" s="105" t="s">
        <x:v>232</x:v>
      </x:c>
      <x:c r="L74" s="104"/>
      <x:c r="M74" s="104" t="s">
        <x:v>519</x:v>
      </x:c>
      <x:c r="N74" s="104" t="s">
        <x:v>238</x:v>
      </x:c>
      <x:c r="O74" s="104"/>
    </x:row>
    <x:row r="75" ht="7.400000095367432" hidden="1" customHeight="1">
      <x:c r="A75" s="108">
        <x:v>74</x:v>
      </x:c>
      <x:c r="B75" s="109" t="s">
        <x:v>113</x:v>
      </x:c>
      <x:c r="C75" s="108" t="s">
        <x:v>534</x:v>
      </x:c>
      <x:c r="D75" s="109" t="s">
        <x:v>535</x:v>
      </x:c>
      <x:c r="E75" s="113" t="s">
        <x:v>86</x:v>
      </x:c>
      <x:c r="F75" s="115"/>
      <x:c r="G75" s="107" t="s">
        <x:v>74</x:v>
      </x:c>
      <x:c r="H75" s="109" t="s">
        <x:v>231</x:v>
      </x:c>
      <x:c r="I75" s="109" t="s">
        <x:v>483</x:v>
      </x:c>
      <x:c r="J75" s="108" t="s">
        <x:v>536</x:v>
      </x:c>
      <x:c r="K75" s="109" t="s">
        <x:v>232</x:v>
      </x:c>
      <x:c r="L75" s="108"/>
      <x:c r="M75" s="108" t="s">
        <x:v>519</x:v>
      </x:c>
      <x:c r="N75" s="108" t="s">
        <x:v>537</x:v>
      </x:c>
      <x:c r="O75" s="108"/>
    </x:row>
    <x:row r="76" ht="7.400000095367432" hidden="1" customHeight="1">
      <x:c r="A76" s="104">
        <x:v>75</x:v>
      </x:c>
      <x:c r="B76" s="105" t="s">
        <x:v>113</x:v>
      </x:c>
      <x:c r="C76" s="104" t="s">
        <x:v>538</x:v>
      </x:c>
      <x:c r="D76" s="105" t="s">
        <x:v>539</x:v>
      </x:c>
      <x:c r="E76" s="113" t="s">
        <x:v>86</x:v>
      </x:c>
      <x:c r="F76" s="114"/>
      <x:c r="G76" s="107" t="s">
        <x:v>74</x:v>
      </x:c>
      <x:c r="H76" s="105" t="s">
        <x:v>237</x:v>
      </x:c>
      <x:c r="I76" s="105" t="s">
        <x:v>483</x:v>
      </x:c>
      <x:c r="J76" s="104" t="s">
        <x:v>540</x:v>
      </x:c>
      <x:c r="K76" s="105" t="s">
        <x:v>232</x:v>
      </x:c>
      <x:c r="L76" s="104"/>
      <x:c r="M76" s="104" t="s">
        <x:v>519</x:v>
      </x:c>
      <x:c r="N76" s="104" t="s">
        <x:v>541</x:v>
      </x:c>
      <x:c r="O76" s="104"/>
    </x:row>
    <x:row r="77" ht="7.400000095367432" hidden="1" customHeight="1">
      <x:c r="A77" s="108">
        <x:v>76</x:v>
      </x:c>
      <x:c r="B77" s="109" t="s">
        <x:v>113</x:v>
      </x:c>
      <x:c r="C77" s="108" t="s">
        <x:v>542</x:v>
      </x:c>
      <x:c r="D77" s="109" t="s">
        <x:v>543</x:v>
      </x:c>
      <x:c r="E77" s="110" t="s">
        <x:v>77</x:v>
      </x:c>
      <x:c r="F77" s="115"/>
      <x:c r="G77" s="111" t="s">
        <x:v>83</x:v>
      </x:c>
      <x:c r="H77" s="109" t="s">
        <x:v>231</x:v>
      </x:c>
      <x:c r="I77" s="109" t="s">
        <x:v>483</x:v>
      </x:c>
      <x:c r="J77" s="108" t="s">
        <x:v>544</x:v>
      </x:c>
      <x:c r="K77" s="109" t="s">
        <x:v>232</x:v>
      </x:c>
      <x:c r="L77" s="108"/>
      <x:c r="M77" s="108" t="s">
        <x:v>519</x:v>
      </x:c>
      <x:c r="N77" s="108" t="s">
        <x:v>438</x:v>
      </x:c>
      <x:c r="O77" s="108"/>
    </x:row>
    <x:row r="78" ht="7.400000095367432" hidden="1" customHeight="1">
      <x:c r="A78" s="104">
        <x:v>77</x:v>
      </x:c>
      <x:c r="B78" s="105" t="s">
        <x:v>113</x:v>
      </x:c>
      <x:c r="C78" s="104" t="s">
        <x:v>545</x:v>
      </x:c>
      <x:c r="D78" s="105" t="s">
        <x:v>546</x:v>
      </x:c>
      <x:c r="E78" s="106" t="s">
        <x:v>69</x:v>
      </x:c>
      <x:c r="F78" s="114"/>
      <x:c r="G78" s="111" t="s">
        <x:v>83</x:v>
      </x:c>
      <x:c r="H78" s="105" t="s">
        <x:v>231</x:v>
      </x:c>
      <x:c r="I78" s="105" t="s">
        <x:v>483</x:v>
      </x:c>
      <x:c r="J78" s="104" t="s">
        <x:v>498</x:v>
      </x:c>
      <x:c r="K78" s="105" t="s">
        <x:v>232</x:v>
      </x:c>
      <x:c r="L78" s="104" t="s">
        <x:v>547</x:v>
      </x:c>
      <x:c r="M78" s="104" t="s">
        <x:v>519</x:v>
      </x:c>
      <x:c r="N78" s="104" t="s">
        <x:v>238</x:v>
      </x:c>
      <x:c r="O78" s="104" t="s">
        <x:v>548</x:v>
      </x:c>
    </x:row>
    <x:row r="79" ht="12.449999809265137" hidden="1" customHeight="1">
      <x:c r="A79" s="108">
        <x:v>78</x:v>
      </x:c>
      <x:c r="B79" s="109" t="s">
        <x:v>118</x:v>
      </x:c>
      <x:c r="C79" s="108" t="s">
        <x:v>549</x:v>
      </x:c>
      <x:c r="D79" s="109" t="s">
        <x:v>550</x:v>
      </x:c>
      <x:c r="E79" s="106" t="s">
        <x:v>69</x:v>
      </x:c>
      <x:c r="F79" s="115"/>
      <x:c r="G79" s="107" t="s">
        <x:v>74</x:v>
      </x:c>
      <x:c r="H79" s="109" t="s">
        <x:v>231</x:v>
      </x:c>
      <x:c r="I79" s="109" t="s">
        <x:v>483</x:v>
      </x:c>
      <x:c r="J79" s="108" t="s">
        <x:v>551</x:v>
      </x:c>
      <x:c r="K79" s="109" t="s">
        <x:v>232</x:v>
      </x:c>
      <x:c r="L79" s="108" t="s">
        <x:v>552</x:v>
      </x:c>
      <x:c r="M79" s="108" t="s">
        <x:v>553</x:v>
      </x:c>
      <x:c r="N79" s="109" t="s">
        <x:v>511</x:v>
      </x:c>
      <x:c r="O79" s="109" t="s">
        <x:v>554</x:v>
      </x:c>
    </x:row>
    <x:row r="80" ht="7.400000095367432" hidden="1" customHeight="1">
      <x:c r="A80" s="104">
        <x:v>79</x:v>
      </x:c>
      <x:c r="B80" s="105" t="s">
        <x:v>118</x:v>
      </x:c>
      <x:c r="C80" s="104" t="s">
        <x:v>555</x:v>
      </x:c>
      <x:c r="D80" s="105" t="s">
        <x:v>556</x:v>
      </x:c>
      <x:c r="E80" s="110" t="s">
        <x:v>77</x:v>
      </x:c>
      <x:c r="F80" s="114"/>
      <x:c r="G80" s="107" t="s">
        <x:v>74</x:v>
      </x:c>
      <x:c r="H80" s="105" t="s">
        <x:v>237</x:v>
      </x:c>
      <x:c r="I80" s="105" t="s">
        <x:v>483</x:v>
      </x:c>
      <x:c r="J80" s="104" t="s">
        <x:v>551</x:v>
      </x:c>
      <x:c r="K80" s="105" t="s">
        <x:v>232</x:v>
      </x:c>
      <x:c r="L80" s="104" t="s">
        <x:v>557</x:v>
      </x:c>
      <x:c r="M80" s="104" t="s">
        <x:v>553</x:v>
      </x:c>
      <x:c r="N80" s="105" t="s">
        <x:v>558</x:v>
      </x:c>
      <x:c r="O80" s="105" t="s">
        <x:v>559</x:v>
      </x:c>
    </x:row>
    <x:row r="81" ht="7.400000095367432" hidden="1" customHeight="1">
      <x:c r="A81" s="108">
        <x:v>80</x:v>
      </x:c>
      <x:c r="B81" s="109" t="s">
        <x:v>118</x:v>
      </x:c>
      <x:c r="C81" s="108" t="s">
        <x:v>560</x:v>
      </x:c>
      <x:c r="D81" s="109" t="s">
        <x:v>561</x:v>
      </x:c>
      <x:c r="E81" s="113" t="s">
        <x:v>86</x:v>
      </x:c>
      <x:c r="F81" s="115"/>
      <x:c r="G81" s="107" t="s">
        <x:v>74</x:v>
      </x:c>
      <x:c r="H81" s="109" t="s">
        <x:v>231</x:v>
      </x:c>
      <x:c r="I81" s="109" t="s">
        <x:v>483</x:v>
      </x:c>
      <x:c r="J81" s="108" t="s">
        <x:v>544</x:v>
      </x:c>
      <x:c r="K81" s="109" t="s">
        <x:v>232</x:v>
      </x:c>
      <x:c r="L81" s="108"/>
      <x:c r="M81" s="108" t="s">
        <x:v>553</x:v>
      </x:c>
      <x:c r="N81" s="108" t="s">
        <x:v>251</x:v>
      </x:c>
      <x:c r="O81" s="109" t="s">
        <x:v>562</x:v>
      </x:c>
    </x:row>
    <x:row r="82" ht="7.400000095367432" hidden="1" customHeight="1">
      <x:c r="A82" s="104">
        <x:v>81</x:v>
      </x:c>
      <x:c r="B82" s="105" t="s">
        <x:v>118</x:v>
      </x:c>
      <x:c r="C82" s="104" t="s">
        <x:v>563</x:v>
      </x:c>
      <x:c r="D82" s="105" t="s">
        <x:v>564</x:v>
      </x:c>
      <x:c r="E82" s="113" t="s">
        <x:v>86</x:v>
      </x:c>
      <x:c r="F82" s="114"/>
      <x:c r="G82" s="107" t="s">
        <x:v>74</x:v>
      </x:c>
      <x:c r="H82" s="105" t="s">
        <x:v>231</x:v>
      </x:c>
      <x:c r="I82" s="105" t="s">
        <x:v>483</x:v>
      </x:c>
      <x:c r="J82" s="104" t="s">
        <x:v>565</x:v>
      </x:c>
      <x:c r="K82" s="105" t="s">
        <x:v>232</x:v>
      </x:c>
      <x:c r="L82" s="104"/>
      <x:c r="M82" s="104" t="s">
        <x:v>553</x:v>
      </x:c>
      <x:c r="N82" s="105" t="s">
        <x:v>566</x:v>
      </x:c>
      <x:c r="O82" s="104"/>
    </x:row>
    <x:row r="83" ht="7.400000095367432" hidden="1" customHeight="1">
      <x:c r="A83" s="108">
        <x:v>82</x:v>
      </x:c>
      <x:c r="B83" s="109" t="s">
        <x:v>118</x:v>
      </x:c>
      <x:c r="C83" s="108" t="s">
        <x:v>567</x:v>
      </x:c>
      <x:c r="D83" s="109" t="s">
        <x:v>568</x:v>
      </x:c>
      <x:c r="E83" s="110" t="s">
        <x:v>77</x:v>
      </x:c>
      <x:c r="F83" s="115"/>
      <x:c r="G83" s="107" t="s">
        <x:v>74</x:v>
      </x:c>
      <x:c r="H83" s="109" t="s">
        <x:v>237</x:v>
      </x:c>
      <x:c r="I83" s="109" t="s">
        <x:v>483</x:v>
      </x:c>
      <x:c r="J83" s="108" t="s">
        <x:v>119</x:v>
      </x:c>
      <x:c r="K83" s="109" t="s">
        <x:v>232</x:v>
      </x:c>
      <x:c r="L83" s="108"/>
      <x:c r="M83" s="108" t="s">
        <x:v>553</x:v>
      </x:c>
      <x:c r="N83" s="108" t="s">
        <x:v>569</x:v>
      </x:c>
      <x:c r="O83" s="108"/>
    </x:row>
    <x:row r="84" ht="7.400000095367432" hidden="1" customHeight="1">
      <x:c r="A84" s="104">
        <x:v>83</x:v>
      </x:c>
      <x:c r="B84" s="105" t="s">
        <x:v>118</x:v>
      </x:c>
      <x:c r="C84" s="104" t="s">
        <x:v>570</x:v>
      </x:c>
      <x:c r="D84" s="105" t="s">
        <x:v>571</x:v>
      </x:c>
      <x:c r="E84" s="110" t="s">
        <x:v>77</x:v>
      </x:c>
      <x:c r="F84" s="114"/>
      <x:c r="G84" s="111" t="s">
        <x:v>83</x:v>
      </x:c>
      <x:c r="H84" s="105" t="s">
        <x:v>231</x:v>
      </x:c>
      <x:c r="I84" s="105" t="s">
        <x:v>483</x:v>
      </x:c>
      <x:c r="J84" s="104" t="s">
        <x:v>572</x:v>
      </x:c>
      <x:c r="K84" s="105" t="s">
        <x:v>232</x:v>
      </x:c>
      <x:c r="L84" s="104" t="s">
        <x:v>573</x:v>
      </x:c>
      <x:c r="M84" s="104" t="s">
        <x:v>553</x:v>
      </x:c>
      <x:c r="N84" s="104" t="s">
        <x:v>251</x:v>
      </x:c>
      <x:c r="O84" s="105" t="s">
        <x:v>574</x:v>
      </x:c>
    </x:row>
    <x:row r="85" ht="7.400000095367432" hidden="1" customHeight="1">
      <x:c r="A85" s="108">
        <x:v>84</x:v>
      </x:c>
      <x:c r="B85" s="109" t="s">
        <x:v>118</x:v>
      </x:c>
      <x:c r="C85" s="108" t="s">
        <x:v>575</x:v>
      </x:c>
      <x:c r="D85" s="109" t="s">
        <x:v>576</x:v>
      </x:c>
      <x:c r="E85" s="110" t="s">
        <x:v>77</x:v>
      </x:c>
      <x:c r="F85" s="115"/>
      <x:c r="G85" s="111" t="s">
        <x:v>83</x:v>
      </x:c>
      <x:c r="H85" s="109" t="s">
        <x:v>237</x:v>
      </x:c>
      <x:c r="I85" s="109" t="s">
        <x:v>483</x:v>
      </x:c>
      <x:c r="J85" s="108" t="s">
        <x:v>119</x:v>
      </x:c>
      <x:c r="K85" s="109" t="s">
        <x:v>232</x:v>
      </x:c>
      <x:c r="L85" s="108"/>
      <x:c r="M85" s="108" t="s">
        <x:v>495</x:v>
      </x:c>
      <x:c r="N85" s="108" t="s">
        <x:v>251</x:v>
      </x:c>
      <x:c r="O85" s="108" t="s">
        <x:v>577</x:v>
      </x:c>
    </x:row>
    <x:row r="86" ht="7.400000095367432" hidden="1" customHeight="1">
      <x:c r="A86" s="104">
        <x:v>85</x:v>
      </x:c>
      <x:c r="B86" s="105" t="s">
        <x:v>122</x:v>
      </x:c>
      <x:c r="C86" s="104" t="s">
        <x:v>578</x:v>
      </x:c>
      <x:c r="D86" s="105" t="s">
        <x:v>579</x:v>
      </x:c>
      <x:c r="E86" s="113" t="s">
        <x:v>86</x:v>
      </x:c>
      <x:c r="F86" s="114"/>
      <x:c r="G86" s="107" t="s">
        <x:v>74</x:v>
      </x:c>
      <x:c r="H86" s="105" t="s">
        <x:v>231</x:v>
      </x:c>
      <x:c r="I86" s="105" t="s">
        <x:v>483</x:v>
      </x:c>
      <x:c r="J86" s="104" t="s">
        <x:v>580</x:v>
      </x:c>
      <x:c r="K86" s="105" t="s">
        <x:v>232</x:v>
      </x:c>
      <x:c r="L86" s="104"/>
      <x:c r="M86" s="104" t="s">
        <x:v>581</x:v>
      </x:c>
      <x:c r="N86" s="104" t="s">
        <x:v>238</x:v>
      </x:c>
      <x:c r="O86" s="104"/>
    </x:row>
    <x:row r="87" ht="7.400000095367432" hidden="1" customHeight="1">
      <x:c r="A87" s="108">
        <x:v>86</x:v>
      </x:c>
      <x:c r="B87" s="109" t="s">
        <x:v>122</x:v>
      </x:c>
      <x:c r="C87" s="108" t="s">
        <x:v>582</x:v>
      </x:c>
      <x:c r="D87" s="109" t="s">
        <x:v>583</x:v>
      </x:c>
      <x:c r="E87" s="113" t="s">
        <x:v>86</x:v>
      </x:c>
      <x:c r="F87" s="115"/>
      <x:c r="G87" s="107" t="s">
        <x:v>74</x:v>
      </x:c>
      <x:c r="H87" s="109" t="s">
        <x:v>237</x:v>
      </x:c>
      <x:c r="I87" s="109" t="s">
        <x:v>483</x:v>
      </x:c>
      <x:c r="J87" s="108" t="s">
        <x:v>135</x:v>
      </x:c>
      <x:c r="K87" s="109" t="s">
        <x:v>232</x:v>
      </x:c>
      <x:c r="L87" s="108" t="s">
        <x:v>584</x:v>
      </x:c>
      <x:c r="M87" s="108" t="s">
        <x:v>581</x:v>
      </x:c>
      <x:c r="N87" s="108" t="s">
        <x:v>234</x:v>
      </x:c>
      <x:c r="O87" s="108" t="s">
        <x:v>585</x:v>
      </x:c>
    </x:row>
    <x:row r="88" ht="7.400000095367432" hidden="1" customHeight="1">
      <x:c r="A88" s="104">
        <x:v>87</x:v>
      </x:c>
      <x:c r="B88" s="105" t="s">
        <x:v>122</x:v>
      </x:c>
      <x:c r="C88" s="104" t="s">
        <x:v>586</x:v>
      </x:c>
      <x:c r="D88" s="105" t="s">
        <x:v>587</x:v>
      </x:c>
      <x:c r="E88" s="113" t="s">
        <x:v>86</x:v>
      </x:c>
      <x:c r="F88" s="114"/>
      <x:c r="G88" s="107" t="s">
        <x:v>74</x:v>
      </x:c>
      <x:c r="H88" s="105" t="s">
        <x:v>237</x:v>
      </x:c>
      <x:c r="I88" s="105" t="s">
        <x:v>483</x:v>
      </x:c>
      <x:c r="J88" s="104" t="s">
        <x:v>588</x:v>
      </x:c>
      <x:c r="K88" s="105" t="s">
        <x:v>232</x:v>
      </x:c>
      <x:c r="L88" s="104" t="s">
        <x:v>589</x:v>
      </x:c>
      <x:c r="M88" s="104" t="s">
        <x:v>581</x:v>
      </x:c>
      <x:c r="N88" s="104" t="s">
        <x:v>590</x:v>
      </x:c>
      <x:c r="O88" s="104" t="s">
        <x:v>591</x:v>
      </x:c>
    </x:row>
    <x:row r="89" ht="7.400000095367432" hidden="1" customHeight="1">
      <x:c r="A89" s="108">
        <x:v>88</x:v>
      </x:c>
      <x:c r="B89" s="109" t="s">
        <x:v>122</x:v>
      </x:c>
      <x:c r="C89" s="108" t="s">
        <x:v>592</x:v>
      </x:c>
      <x:c r="D89" s="109" t="s">
        <x:v>593</x:v>
      </x:c>
      <x:c r="E89" s="106" t="s">
        <x:v>69</x:v>
      </x:c>
      <x:c r="F89" s="115"/>
      <x:c r="G89" s="107" t="s">
        <x:v>74</x:v>
      </x:c>
      <x:c r="H89" s="109" t="s">
        <x:v>231</x:v>
      </x:c>
      <x:c r="I89" s="109" t="s">
        <x:v>483</x:v>
      </x:c>
      <x:c r="J89" s="108" t="s">
        <x:v>135</x:v>
      </x:c>
      <x:c r="K89" s="109" t="s">
        <x:v>232</x:v>
      </x:c>
      <x:c r="L89" s="108" t="s">
        <x:v>594</x:v>
      </x:c>
      <x:c r="M89" s="108" t="s">
        <x:v>581</x:v>
      </x:c>
      <x:c r="N89" s="108" t="s">
        <x:v>251</x:v>
      </x:c>
      <x:c r="O89" s="108" t="s">
        <x:v>595</x:v>
      </x:c>
    </x:row>
    <x:row r="90" ht="7.400000095367432" hidden="1" customHeight="1">
      <x:c r="A90" s="104">
        <x:v>89</x:v>
      </x:c>
      <x:c r="B90" s="105" t="s">
        <x:v>122</x:v>
      </x:c>
      <x:c r="C90" s="104" t="s">
        <x:v>596</x:v>
      </x:c>
      <x:c r="D90" s="105" t="s">
        <x:v>597</x:v>
      </x:c>
      <x:c r="E90" s="113" t="s">
        <x:v>86</x:v>
      </x:c>
      <x:c r="F90" s="114"/>
      <x:c r="G90" s="107" t="s">
        <x:v>74</x:v>
      </x:c>
      <x:c r="H90" s="105" t="s">
        <x:v>231</x:v>
      </x:c>
      <x:c r="I90" s="105" t="s">
        <x:v>483</x:v>
      </x:c>
      <x:c r="J90" s="104" t="s">
        <x:v>135</x:v>
      </x:c>
      <x:c r="K90" s="105" t="s">
        <x:v>232</x:v>
      </x:c>
      <x:c r="L90" s="104"/>
      <x:c r="M90" s="104" t="s">
        <x:v>581</x:v>
      </x:c>
      <x:c r="N90" s="105" t="s">
        <x:v>566</x:v>
      </x:c>
      <x:c r="O90" s="104"/>
    </x:row>
    <x:row r="91" ht="7.400000095367432" hidden="1" customHeight="1">
      <x:c r="A91" s="108">
        <x:v>90</x:v>
      </x:c>
      <x:c r="B91" s="109" t="s">
        <x:v>122</x:v>
      </x:c>
      <x:c r="C91" s="108" t="s">
        <x:v>598</x:v>
      </x:c>
      <x:c r="D91" s="109" t="s">
        <x:v>599</x:v>
      </x:c>
      <x:c r="E91" s="106" t="s">
        <x:v>69</x:v>
      </x:c>
      <x:c r="F91" s="115"/>
      <x:c r="G91" s="111" t="s">
        <x:v>83</x:v>
      </x:c>
      <x:c r="H91" s="109" t="s">
        <x:v>237</x:v>
      </x:c>
      <x:c r="I91" s="109" t="s">
        <x:v>483</x:v>
      </x:c>
      <x:c r="J91" s="108" t="s">
        <x:v>600</x:v>
      </x:c>
      <x:c r="K91" s="109" t="s">
        <x:v>232</x:v>
      </x:c>
      <x:c r="L91" s="108" t="s">
        <x:v>601</x:v>
      </x:c>
      <x:c r="M91" s="108" t="s">
        <x:v>581</x:v>
      </x:c>
      <x:c r="N91" s="108" t="s">
        <x:v>251</x:v>
      </x:c>
      <x:c r="O91" s="108" t="s">
        <x:v>602</x:v>
      </x:c>
    </x:row>
    <x:row r="92" ht="7.400000095367432" hidden="1" customHeight="1">
      <x:c r="A92" s="104">
        <x:v>91</x:v>
      </x:c>
      <x:c r="B92" s="105" t="s">
        <x:v>122</x:v>
      </x:c>
      <x:c r="C92" s="104" t="s">
        <x:v>603</x:v>
      </x:c>
      <x:c r="D92" s="105" t="s">
        <x:v>604</x:v>
      </x:c>
      <x:c r="E92" s="113" t="s">
        <x:v>86</x:v>
      </x:c>
      <x:c r="F92" s="114"/>
      <x:c r="G92" s="107" t="s">
        <x:v>74</x:v>
      </x:c>
      <x:c r="H92" s="105" t="s">
        <x:v>237</x:v>
      </x:c>
      <x:c r="I92" s="105" t="s">
        <x:v>483</x:v>
      </x:c>
      <x:c r="J92" s="104" t="s">
        <x:v>605</x:v>
      </x:c>
      <x:c r="K92" s="105" t="s">
        <x:v>232</x:v>
      </x:c>
      <x:c r="L92" s="104"/>
      <x:c r="M92" s="104" t="s">
        <x:v>581</x:v>
      </x:c>
      <x:c r="N92" s="104" t="s">
        <x:v>234</x:v>
      </x:c>
      <x:c r="O92" s="105" t="s">
        <x:v>606</x:v>
      </x:c>
    </x:row>
    <x:row r="93" ht="7.400000095367432" hidden="1" customHeight="1">
      <x:c r="A93" s="108">
        <x:v>92</x:v>
      </x:c>
      <x:c r="B93" s="109" t="s">
        <x:v>122</x:v>
      </x:c>
      <x:c r="C93" s="108" t="s">
        <x:v>607</x:v>
      </x:c>
      <x:c r="D93" s="109" t="s">
        <x:v>608</x:v>
      </x:c>
      <x:c r="E93" s="110" t="s">
        <x:v>77</x:v>
      </x:c>
      <x:c r="F93" s="115"/>
      <x:c r="G93" s="107" t="s">
        <x:v>74</x:v>
      </x:c>
      <x:c r="H93" s="109" t="s">
        <x:v>237</x:v>
      </x:c>
      <x:c r="I93" s="109" t="s">
        <x:v>483</x:v>
      </x:c>
      <x:c r="J93" s="108" t="s">
        <x:v>109</x:v>
      </x:c>
      <x:c r="K93" s="109" t="s">
        <x:v>232</x:v>
      </x:c>
      <x:c r="L93" s="108"/>
      <x:c r="M93" s="108" t="s">
        <x:v>581</x:v>
      </x:c>
      <x:c r="N93" s="108" t="s">
        <x:v>251</x:v>
      </x:c>
      <x:c r="O93" s="109" t="s">
        <x:v>609</x:v>
      </x:c>
    </x:row>
    <x:row r="94" ht="7.400000095367432" hidden="1" customHeight="1">
      <x:c r="A94" s="104">
        <x:v>93</x:v>
      </x:c>
      <x:c r="B94" s="105" t="s">
        <x:v>122</x:v>
      </x:c>
      <x:c r="C94" s="104" t="s">
        <x:v>610</x:v>
      </x:c>
      <x:c r="D94" s="105" t="s">
        <x:v>611</x:v>
      </x:c>
      <x:c r="E94" s="113" t="s">
        <x:v>86</x:v>
      </x:c>
      <x:c r="F94" s="114"/>
      <x:c r="G94" s="107" t="s">
        <x:v>74</x:v>
      </x:c>
      <x:c r="H94" s="105" t="s">
        <x:v>237</x:v>
      </x:c>
      <x:c r="I94" s="105" t="s">
        <x:v>483</x:v>
      </x:c>
      <x:c r="J94" s="104" t="s">
        <x:v>612</x:v>
      </x:c>
      <x:c r="K94" s="105" t="s">
        <x:v>232</x:v>
      </x:c>
      <x:c r="L94" s="104"/>
      <x:c r="M94" s="104" t="s">
        <x:v>581</x:v>
      </x:c>
      <x:c r="N94" s="104" t="s">
        <x:v>238</x:v>
      </x:c>
      <x:c r="O94" s="104" t="s">
        <x:v>613</x:v>
      </x:c>
    </x:row>
    <x:row r="95" ht="7.400000095367432" hidden="1" customHeight="1">
      <x:c r="A95" s="108">
        <x:v>94</x:v>
      </x:c>
      <x:c r="B95" s="109" t="s">
        <x:v>122</x:v>
      </x:c>
      <x:c r="C95" s="108" t="s">
        <x:v>614</x:v>
      </x:c>
      <x:c r="D95" s="109" t="s">
        <x:v>615</x:v>
      </x:c>
      <x:c r="E95" s="113" t="s">
        <x:v>86</x:v>
      </x:c>
      <x:c r="F95" s="115"/>
      <x:c r="G95" s="107" t="s">
        <x:v>74</x:v>
      </x:c>
      <x:c r="H95" s="109" t="s">
        <x:v>231</x:v>
      </x:c>
      <x:c r="I95" s="109" t="s">
        <x:v>483</x:v>
      </x:c>
      <x:c r="J95" s="108" t="s">
        <x:v>137</x:v>
      </x:c>
      <x:c r="K95" s="109" t="s">
        <x:v>232</x:v>
      </x:c>
      <x:c r="L95" s="108" t="s">
        <x:v>616</x:v>
      </x:c>
      <x:c r="M95" s="108" t="s">
        <x:v>581</x:v>
      </x:c>
      <x:c r="N95" s="108" t="s">
        <x:v>251</x:v>
      </x:c>
      <x:c r="O95" s="108" t="s">
        <x:v>617</x:v>
      </x:c>
    </x:row>
    <x:row r="96" ht="7.400000095367432" hidden="1" customHeight="1">
      <x:c r="A96" s="104">
        <x:v>95</x:v>
      </x:c>
      <x:c r="B96" s="105" t="s">
        <x:v>126</x:v>
      </x:c>
      <x:c r="C96" s="104" t="s">
        <x:v>618</x:v>
      </x:c>
      <x:c r="D96" s="105" t="s">
        <x:v>619</x:v>
      </x:c>
      <x:c r="E96" s="113" t="s">
        <x:v>86</x:v>
      </x:c>
      <x:c r="F96" s="114"/>
      <x:c r="G96" s="107" t="s">
        <x:v>74</x:v>
      </x:c>
      <x:c r="H96" s="105" t="s">
        <x:v>231</x:v>
      </x:c>
      <x:c r="I96" s="105" t="s">
        <x:v>483</x:v>
      </x:c>
      <x:c r="J96" s="104" t="s">
        <x:v>470</x:v>
      </x:c>
      <x:c r="K96" s="105" t="s">
        <x:v>232</x:v>
      </x:c>
      <x:c r="L96" s="104"/>
      <x:c r="M96" s="104" t="s">
        <x:v>620</x:v>
      </x:c>
      <x:c r="N96" s="104" t="s">
        <x:v>238</x:v>
      </x:c>
      <x:c r="O96" s="104"/>
    </x:row>
    <x:row r="97" ht="7.400000095367432" hidden="1" customHeight="1">
      <x:c r="A97" s="108">
        <x:v>96</x:v>
      </x:c>
      <x:c r="B97" s="109" t="s">
        <x:v>126</x:v>
      </x:c>
      <x:c r="C97" s="108" t="s">
        <x:v>621</x:v>
      </x:c>
      <x:c r="D97" s="109" t="s">
        <x:v>622</x:v>
      </x:c>
      <x:c r="E97" s="113" t="s">
        <x:v>86</x:v>
      </x:c>
      <x:c r="F97" s="115"/>
      <x:c r="G97" s="107" t="s">
        <x:v>74</x:v>
      </x:c>
      <x:c r="H97" s="109" t="s">
        <x:v>237</x:v>
      </x:c>
      <x:c r="I97" s="109" t="s">
        <x:v>483</x:v>
      </x:c>
      <x:c r="J97" s="108" t="s">
        <x:v>623</x:v>
      </x:c>
      <x:c r="K97" s="109" t="s">
        <x:v>232</x:v>
      </x:c>
      <x:c r="L97" s="108"/>
      <x:c r="M97" s="108" t="s">
        <x:v>620</x:v>
      </x:c>
      <x:c r="N97" s="108" t="s">
        <x:v>238</x:v>
      </x:c>
      <x:c r="O97" s="108"/>
    </x:row>
    <x:row r="98" ht="12.449999809265137" hidden="1" customHeight="1">
      <x:c r="A98" s="104">
        <x:v>97</x:v>
      </x:c>
      <x:c r="B98" s="105" t="s">
        <x:v>126</x:v>
      </x:c>
      <x:c r="C98" s="104" t="s">
        <x:v>624</x:v>
      </x:c>
      <x:c r="D98" s="105" t="s">
        <x:v>625</x:v>
      </x:c>
      <x:c r="E98" s="113" t="s">
        <x:v>86</x:v>
      </x:c>
      <x:c r="F98" s="114"/>
      <x:c r="G98" s="107" t="s">
        <x:v>74</x:v>
      </x:c>
      <x:c r="H98" s="105" t="s">
        <x:v>231</x:v>
      </x:c>
      <x:c r="I98" s="105" t="s">
        <x:v>483</x:v>
      </x:c>
      <x:c r="J98" s="104" t="s">
        <x:v>470</x:v>
      </x:c>
      <x:c r="K98" s="105" t="s">
        <x:v>232</x:v>
      </x:c>
      <x:c r="L98" s="104"/>
      <x:c r="M98" s="104" t="s">
        <x:v>620</x:v>
      </x:c>
      <x:c r="N98" s="104" t="s">
        <x:v>626</x:v>
      </x:c>
      <x:c r="O98" s="104"/>
    </x:row>
    <x:row r="99" ht="7.400000095367432" hidden="1" customHeight="1">
      <x:c r="A99" s="108">
        <x:v>98</x:v>
      </x:c>
      <x:c r="B99" s="109" t="s">
        <x:v>126</x:v>
      </x:c>
      <x:c r="C99" s="108" t="s">
        <x:v>627</x:v>
      </x:c>
      <x:c r="D99" s="109" t="s">
        <x:v>628</x:v>
      </x:c>
      <x:c r="E99" s="113" t="s">
        <x:v>86</x:v>
      </x:c>
      <x:c r="F99" s="115"/>
      <x:c r="G99" s="107" t="s">
        <x:v>74</x:v>
      </x:c>
      <x:c r="H99" s="109" t="s">
        <x:v>237</x:v>
      </x:c>
      <x:c r="I99" s="109" t="s">
        <x:v>483</x:v>
      </x:c>
      <x:c r="J99" s="108" t="s">
        <x:v>629</x:v>
      </x:c>
      <x:c r="K99" s="109" t="s">
        <x:v>232</x:v>
      </x:c>
      <x:c r="L99" s="108"/>
      <x:c r="M99" s="108" t="s">
        <x:v>620</x:v>
      </x:c>
      <x:c r="N99" s="108" t="s">
        <x:v>238</x:v>
      </x:c>
      <x:c r="O99" s="109" t="s">
        <x:v>630</x:v>
      </x:c>
    </x:row>
    <x:row r="100" ht="7.400000095367432" hidden="1" customHeight="1">
      <x:c r="A100" s="104">
        <x:v>99</x:v>
      </x:c>
      <x:c r="B100" s="105" t="s">
        <x:v>126</x:v>
      </x:c>
      <x:c r="C100" s="104" t="s">
        <x:v>631</x:v>
      </x:c>
      <x:c r="D100" s="105" t="s">
        <x:v>632</x:v>
      </x:c>
      <x:c r="E100" s="110" t="s">
        <x:v>77</x:v>
      </x:c>
      <x:c r="F100" s="114"/>
      <x:c r="G100" s="107" t="s">
        <x:v>74</x:v>
      </x:c>
      <x:c r="H100" s="105" t="s">
        <x:v>237</x:v>
      </x:c>
      <x:c r="I100" s="105" t="s">
        <x:v>483</x:v>
      </x:c>
      <x:c r="J100" s="104" t="s">
        <x:v>470</x:v>
      </x:c>
      <x:c r="K100" s="105" t="s">
        <x:v>232</x:v>
      </x:c>
      <x:c r="L100" s="104"/>
      <x:c r="M100" s="104" t="s">
        <x:v>620</x:v>
      </x:c>
      <x:c r="N100" s="104" t="s">
        <x:v>238</x:v>
      </x:c>
      <x:c r="O100" s="105" t="s">
        <x:v>633</x:v>
      </x:c>
    </x:row>
    <x:row r="101" ht="7.400000095367432" hidden="1" customHeight="1">
      <x:c r="A101" s="108">
        <x:v>100</x:v>
      </x:c>
      <x:c r="B101" s="109" t="s">
        <x:v>126</x:v>
      </x:c>
      <x:c r="C101" s="108" t="s">
        <x:v>634</x:v>
      </x:c>
      <x:c r="D101" s="109" t="s">
        <x:v>635</x:v>
      </x:c>
      <x:c r="E101" s="113" t="s">
        <x:v>86</x:v>
      </x:c>
      <x:c r="F101" s="115"/>
      <x:c r="G101" s="107" t="s">
        <x:v>74</x:v>
      </x:c>
      <x:c r="H101" s="109" t="s">
        <x:v>231</x:v>
      </x:c>
      <x:c r="I101" s="109" t="s">
        <x:v>483</x:v>
      </x:c>
      <x:c r="J101" s="108" t="s">
        <x:v>636</x:v>
      </x:c>
      <x:c r="K101" s="109" t="s">
        <x:v>232</x:v>
      </x:c>
      <x:c r="L101" s="108"/>
      <x:c r="M101" s="108" t="s">
        <x:v>620</x:v>
      </x:c>
      <x:c r="N101" s="108" t="s">
        <x:v>438</x:v>
      </x:c>
      <x:c r="O101" s="108"/>
    </x:row>
    <x:row r="102" ht="7.400000095367432" hidden="1" customHeight="1">
      <x:c r="A102" s="104">
        <x:v>101</x:v>
      </x:c>
      <x:c r="B102" s="105" t="s">
        <x:v>126</x:v>
      </x:c>
      <x:c r="C102" s="104" t="s">
        <x:v>637</x:v>
      </x:c>
      <x:c r="D102" s="105" t="s">
        <x:v>638</x:v>
      </x:c>
      <x:c r="E102" s="110" t="s">
        <x:v>77</x:v>
      </x:c>
      <x:c r="F102" s="114"/>
      <x:c r="G102" s="107" t="s">
        <x:v>74</x:v>
      </x:c>
      <x:c r="H102" s="105" t="s">
        <x:v>231</x:v>
      </x:c>
      <x:c r="I102" s="105" t="s">
        <x:v>483</x:v>
      </x:c>
      <x:c r="J102" s="104" t="s">
        <x:v>639</x:v>
      </x:c>
      <x:c r="K102" s="105" t="s">
        <x:v>232</x:v>
      </x:c>
      <x:c r="L102" s="104"/>
      <x:c r="M102" s="104" t="s">
        <x:v>620</x:v>
      </x:c>
      <x:c r="N102" s="104" t="s">
        <x:v>251</x:v>
      </x:c>
      <x:c r="O102" s="104"/>
    </x:row>
    <x:row r="103" ht="7.400000095367432" hidden="1" customHeight="1">
      <x:c r="A103" s="108">
        <x:v>102</x:v>
      </x:c>
      <x:c r="B103" s="109" t="s">
        <x:v>126</x:v>
      </x:c>
      <x:c r="C103" s="108" t="s">
        <x:v>640</x:v>
      </x:c>
      <x:c r="D103" s="109" t="s">
        <x:v>641</x:v>
      </x:c>
      <x:c r="E103" s="113" t="s">
        <x:v>86</x:v>
      </x:c>
      <x:c r="F103" s="115"/>
      <x:c r="G103" s="107" t="s">
        <x:v>74</x:v>
      </x:c>
      <x:c r="H103" s="109" t="s">
        <x:v>231</x:v>
      </x:c>
      <x:c r="I103" s="109" t="s">
        <x:v>483</x:v>
      </x:c>
      <x:c r="J103" s="108" t="s">
        <x:v>639</x:v>
      </x:c>
      <x:c r="K103" s="109" t="s">
        <x:v>232</x:v>
      </x:c>
      <x:c r="L103" s="108"/>
      <x:c r="M103" s="108" t="s">
        <x:v>620</x:v>
      </x:c>
      <x:c r="N103" s="109" t="s">
        <x:v>566</x:v>
      </x:c>
      <x:c r="O103" s="108"/>
    </x:row>
    <x:row r="104" ht="7.400000095367432" hidden="1" customHeight="1">
      <x:c r="A104" s="104">
        <x:v>103</x:v>
      </x:c>
      <x:c r="B104" s="105" t="s">
        <x:v>126</x:v>
      </x:c>
      <x:c r="C104" s="104" t="s">
        <x:v>642</x:v>
      </x:c>
      <x:c r="D104" s="105" t="s">
        <x:v>643</x:v>
      </x:c>
      <x:c r="E104" s="113" t="s">
        <x:v>86</x:v>
      </x:c>
      <x:c r="F104" s="114"/>
      <x:c r="G104" s="107" t="s">
        <x:v>74</x:v>
      </x:c>
      <x:c r="H104" s="105" t="s">
        <x:v>231</x:v>
      </x:c>
      <x:c r="I104" s="105" t="s">
        <x:v>483</x:v>
      </x:c>
      <x:c r="J104" s="104" t="s">
        <x:v>470</x:v>
      </x:c>
      <x:c r="K104" s="105" t="s">
        <x:v>232</x:v>
      </x:c>
      <x:c r="L104" s="104"/>
      <x:c r="M104" s="104" t="s">
        <x:v>620</x:v>
      </x:c>
      <x:c r="N104" s="104" t="s">
        <x:v>238</x:v>
      </x:c>
      <x:c r="O104" s="104"/>
    </x:row>
    <x:row r="105" ht="7.400000095367432" hidden="1" customHeight="1">
      <x:c r="A105" s="108">
        <x:v>104</x:v>
      </x:c>
      <x:c r="B105" s="109" t="s">
        <x:v>126</x:v>
      </x:c>
      <x:c r="C105" s="108" t="s">
        <x:v>644</x:v>
      </x:c>
      <x:c r="D105" s="109" t="s">
        <x:v>645</x:v>
      </x:c>
      <x:c r="E105" s="113" t="s">
        <x:v>86</x:v>
      </x:c>
      <x:c r="F105" s="115"/>
      <x:c r="G105" s="107" t="s">
        <x:v>74</x:v>
      </x:c>
      <x:c r="H105" s="109" t="s">
        <x:v>231</x:v>
      </x:c>
      <x:c r="I105" s="109" t="s">
        <x:v>483</x:v>
      </x:c>
      <x:c r="J105" s="108" t="s">
        <x:v>639</x:v>
      </x:c>
      <x:c r="K105" s="109" t="s">
        <x:v>232</x:v>
      </x:c>
      <x:c r="L105" s="108"/>
      <x:c r="M105" s="108" t="s">
        <x:v>620</x:v>
      </x:c>
      <x:c r="N105" s="108" t="s">
        <x:v>238</x:v>
      </x:c>
      <x:c r="O105" s="108"/>
    </x:row>
    <x:row r="106" ht="7.400000095367432" hidden="1" customHeight="1">
      <x:c r="A106" s="104">
        <x:v>105</x:v>
      </x:c>
      <x:c r="B106" s="105" t="s">
        <x:v>126</x:v>
      </x:c>
      <x:c r="C106" s="104" t="s">
        <x:v>646</x:v>
      </x:c>
      <x:c r="D106" s="105" t="s">
        <x:v>647</x:v>
      </x:c>
      <x:c r="E106" s="110" t="s">
        <x:v>77</x:v>
      </x:c>
      <x:c r="F106" s="114"/>
      <x:c r="G106" s="116" t="s">
        <x:v>95</x:v>
      </x:c>
      <x:c r="H106" s="105" t="s">
        <x:v>237</x:v>
      </x:c>
      <x:c r="I106" s="105" t="s">
        <x:v>483</x:v>
      </x:c>
      <x:c r="J106" s="104" t="s">
        <x:v>470</x:v>
      </x:c>
      <x:c r="K106" s="105" t="s">
        <x:v>232</x:v>
      </x:c>
      <x:c r="L106" s="104"/>
      <x:c r="M106" s="104" t="s">
        <x:v>620</x:v>
      </x:c>
      <x:c r="N106" s="104" t="s">
        <x:v>251</x:v>
      </x:c>
      <x:c r="O106" s="104" t="s">
        <x:v>648</x:v>
      </x:c>
    </x:row>
    <x:row r="107" ht="7.400000095367432" hidden="1" customHeight="1">
      <x:c r="A107" s="108">
        <x:v>106</x:v>
      </x:c>
      <x:c r="B107" s="109" t="s">
        <x:v>126</x:v>
      </x:c>
      <x:c r="C107" s="108" t="s">
        <x:v>649</x:v>
      </x:c>
      <x:c r="D107" s="109" t="s">
        <x:v>650</x:v>
      </x:c>
      <x:c r="E107" s="110" t="s">
        <x:v>77</x:v>
      </x:c>
      <x:c r="F107" s="115"/>
      <x:c r="G107" s="111" t="s">
        <x:v>83</x:v>
      </x:c>
      <x:c r="H107" s="109" t="s">
        <x:v>231</x:v>
      </x:c>
      <x:c r="I107" s="109" t="s">
        <x:v>483</x:v>
      </x:c>
      <x:c r="J107" s="108" t="s">
        <x:v>651</x:v>
      </x:c>
      <x:c r="K107" s="109" t="s">
        <x:v>232</x:v>
      </x:c>
      <x:c r="L107" s="108"/>
      <x:c r="M107" s="108" t="s">
        <x:v>620</x:v>
      </x:c>
      <x:c r="N107" s="108" t="s">
        <x:v>251</x:v>
      </x:c>
      <x:c r="O107" s="108"/>
    </x:row>
    <x:row r="108" ht="7.400000095367432" hidden="1" customHeight="1">
      <x:c r="A108" s="104">
        <x:v>107</x:v>
      </x:c>
      <x:c r="B108" s="105" t="s">
        <x:v>130</x:v>
      </x:c>
      <x:c r="C108" s="104" t="s">
        <x:v>652</x:v>
      </x:c>
      <x:c r="D108" s="105" t="s">
        <x:v>653</x:v>
      </x:c>
      <x:c r="E108" s="113" t="s">
        <x:v>86</x:v>
      </x:c>
      <x:c r="F108" s="114"/>
      <x:c r="G108" s="107" t="s">
        <x:v>74</x:v>
      </x:c>
      <x:c r="H108" s="105" t="s">
        <x:v>231</x:v>
      </x:c>
      <x:c r="I108" s="105" t="s">
        <x:v>483</x:v>
      </x:c>
      <x:c r="J108" s="104" t="s">
        <x:v>654</x:v>
      </x:c>
      <x:c r="K108" s="105" t="s">
        <x:v>232</x:v>
      </x:c>
      <x:c r="L108" s="104"/>
      <x:c r="M108" s="104" t="s">
        <x:v>655</x:v>
      </x:c>
      <x:c r="N108" s="104" t="s">
        <x:v>238</x:v>
      </x:c>
      <x:c r="O108" s="104"/>
    </x:row>
    <x:row r="109" ht="12.449999809265137" hidden="1" customHeight="1">
      <x:c r="A109" s="108">
        <x:v>108</x:v>
      </x:c>
      <x:c r="B109" s="109" t="s">
        <x:v>130</x:v>
      </x:c>
      <x:c r="C109" s="108" t="s">
        <x:v>656</x:v>
      </x:c>
      <x:c r="D109" s="109" t="s">
        <x:v>657</x:v>
      </x:c>
      <x:c r="E109" s="113" t="s">
        <x:v>86</x:v>
      </x:c>
      <x:c r="F109" s="115"/>
      <x:c r="G109" s="107" t="s">
        <x:v>74</x:v>
      </x:c>
      <x:c r="H109" s="109" t="s">
        <x:v>237</x:v>
      </x:c>
      <x:c r="I109" s="109" t="s">
        <x:v>483</x:v>
      </x:c>
      <x:c r="J109" s="108" t="s">
        <x:v>658</x:v>
      </x:c>
      <x:c r="K109" s="109" t="s">
        <x:v>232</x:v>
      </x:c>
      <x:c r="L109" s="108"/>
      <x:c r="M109" s="108" t="s">
        <x:v>655</x:v>
      </x:c>
      <x:c r="N109" s="108" t="s">
        <x:v>234</x:v>
      </x:c>
      <x:c r="O109" s="109" t="s">
        <x:v>659</x:v>
      </x:c>
    </x:row>
    <x:row r="110" ht="7.400000095367432" hidden="1" customHeight="1">
      <x:c r="A110" s="104">
        <x:v>109</x:v>
      </x:c>
      <x:c r="B110" s="105" t="s">
        <x:v>130</x:v>
      </x:c>
      <x:c r="C110" s="104" t="s">
        <x:v>660</x:v>
      </x:c>
      <x:c r="D110" s="105" t="s">
        <x:v>661</x:v>
      </x:c>
      <x:c r="E110" s="113" t="s">
        <x:v>86</x:v>
      </x:c>
      <x:c r="F110" s="114"/>
      <x:c r="G110" s="107" t="s">
        <x:v>74</x:v>
      </x:c>
      <x:c r="H110" s="105" t="s">
        <x:v>231</x:v>
      </x:c>
      <x:c r="I110" s="105" t="s">
        <x:v>483</x:v>
      </x:c>
      <x:c r="J110" s="104" t="s">
        <x:v>662</x:v>
      </x:c>
      <x:c r="K110" s="105" t="s">
        <x:v>232</x:v>
      </x:c>
      <x:c r="L110" s="104"/>
      <x:c r="M110" s="104" t="s">
        <x:v>655</x:v>
      </x:c>
      <x:c r="N110" s="104" t="s">
        <x:v>238</x:v>
      </x:c>
      <x:c r="O110" s="104"/>
    </x:row>
    <x:row r="111" ht="12.449999809265137" hidden="1" customHeight="1">
      <x:c r="A111" s="108">
        <x:v>110</x:v>
      </x:c>
      <x:c r="B111" s="109" t="s">
        <x:v>130</x:v>
      </x:c>
      <x:c r="C111" s="108" t="s">
        <x:v>663</x:v>
      </x:c>
      <x:c r="D111" s="109" t="s">
        <x:v>664</x:v>
      </x:c>
      <x:c r="E111" s="113" t="s">
        <x:v>86</x:v>
      </x:c>
      <x:c r="F111" s="115"/>
      <x:c r="G111" s="107" t="s">
        <x:v>74</x:v>
      </x:c>
      <x:c r="H111" s="109" t="s">
        <x:v>250</x:v>
      </x:c>
      <x:c r="I111" s="109" t="s">
        <x:v>483</x:v>
      </x:c>
      <x:c r="J111" s="108" t="s">
        <x:v>665</x:v>
      </x:c>
      <x:c r="K111" s="109" t="s">
        <x:v>232</x:v>
      </x:c>
      <x:c r="L111" s="108"/>
      <x:c r="M111" s="108" t="s">
        <x:v>655</x:v>
      </x:c>
      <x:c r="N111" s="109" t="s">
        <x:v>566</x:v>
      </x:c>
      <x:c r="O111" s="108"/>
    </x:row>
    <x:row r="112" ht="7.400000095367432" hidden="1" customHeight="1">
      <x:c r="A112" s="104">
        <x:v>111</x:v>
      </x:c>
      <x:c r="B112" s="105" t="s">
        <x:v>130</x:v>
      </x:c>
      <x:c r="C112" s="104" t="s">
        <x:v>666</x:v>
      </x:c>
      <x:c r="D112" s="105" t="s">
        <x:v>667</x:v>
      </x:c>
      <x:c r="E112" s="113" t="s">
        <x:v>86</x:v>
      </x:c>
      <x:c r="F112" s="114"/>
      <x:c r="G112" s="107" t="s">
        <x:v>74</x:v>
      </x:c>
      <x:c r="H112" s="105" t="s">
        <x:v>231</x:v>
      </x:c>
      <x:c r="I112" s="105" t="s">
        <x:v>483</x:v>
      </x:c>
      <x:c r="J112" s="104" t="s">
        <x:v>668</x:v>
      </x:c>
      <x:c r="K112" s="105" t="s">
        <x:v>232</x:v>
      </x:c>
      <x:c r="L112" s="104"/>
      <x:c r="M112" s="104" t="s">
        <x:v>655</x:v>
      </x:c>
      <x:c r="N112" s="104" t="s">
        <x:v>251</x:v>
      </x:c>
      <x:c r="O112" s="104"/>
    </x:row>
    <x:row r="113" ht="7.400000095367432" hidden="1" customHeight="1">
      <x:c r="A113" s="108">
        <x:v>112</x:v>
      </x:c>
      <x:c r="B113" s="109" t="s">
        <x:v>130</x:v>
      </x:c>
      <x:c r="C113" s="108" t="s">
        <x:v>669</x:v>
      </x:c>
      <x:c r="D113" s="109" t="s">
        <x:v>670</x:v>
      </x:c>
      <x:c r="E113" s="113" t="s">
        <x:v>86</x:v>
      </x:c>
      <x:c r="F113" s="115"/>
      <x:c r="G113" s="107" t="s">
        <x:v>74</x:v>
      </x:c>
      <x:c r="H113" s="109" t="s">
        <x:v>237</x:v>
      </x:c>
      <x:c r="I113" s="109" t="s">
        <x:v>483</x:v>
      </x:c>
      <x:c r="J113" s="108" t="s">
        <x:v>671</x:v>
      </x:c>
      <x:c r="K113" s="109" t="s">
        <x:v>232</x:v>
      </x:c>
      <x:c r="L113" s="108"/>
      <x:c r="M113" s="108" t="s">
        <x:v>655</x:v>
      </x:c>
      <x:c r="N113" s="108" t="s">
        <x:v>438</x:v>
      </x:c>
      <x:c r="O113" s="109" t="s">
        <x:v>672</x:v>
      </x:c>
    </x:row>
    <x:row r="114" ht="7.400000095367432" hidden="1" customHeight="1">
      <x:c r="A114" s="104">
        <x:v>113</x:v>
      </x:c>
      <x:c r="B114" s="105" t="s">
        <x:v>130</x:v>
      </x:c>
      <x:c r="C114" s="104" t="s">
        <x:v>673</x:v>
      </x:c>
      <x:c r="D114" s="105" t="s">
        <x:v>674</x:v>
      </x:c>
      <x:c r="E114" s="113" t="s">
        <x:v>86</x:v>
      </x:c>
      <x:c r="F114" s="114"/>
      <x:c r="G114" s="111" t="s">
        <x:v>83</x:v>
      </x:c>
      <x:c r="H114" s="105" t="s">
        <x:v>231</x:v>
      </x:c>
      <x:c r="I114" s="105" t="s">
        <x:v>483</x:v>
      </x:c>
      <x:c r="J114" s="104" t="s">
        <x:v>600</x:v>
      </x:c>
      <x:c r="K114" s="105" t="s">
        <x:v>232</x:v>
      </x:c>
      <x:c r="L114" s="104"/>
      <x:c r="M114" s="104" t="s">
        <x:v>655</x:v>
      </x:c>
      <x:c r="N114" s="104" t="s">
        <x:v>238</x:v>
      </x:c>
      <x:c r="O114" s="104"/>
    </x:row>
    <x:row r="115" ht="7.400000095367432" hidden="1" customHeight="1">
      <x:c r="A115" s="108">
        <x:v>114</x:v>
      </x:c>
      <x:c r="B115" s="109" t="s">
        <x:v>130</x:v>
      </x:c>
      <x:c r="C115" s="108" t="s">
        <x:v>675</x:v>
      </x:c>
      <x:c r="D115" s="109" t="s">
        <x:v>676</x:v>
      </x:c>
      <x:c r="E115" s="113" t="s">
        <x:v>86</x:v>
      </x:c>
      <x:c r="F115" s="115"/>
      <x:c r="G115" s="107" t="s">
        <x:v>74</x:v>
      </x:c>
      <x:c r="H115" s="109" t="s">
        <x:v>231</x:v>
      </x:c>
      <x:c r="I115" s="109" t="s">
        <x:v>483</x:v>
      </x:c>
      <x:c r="J115" s="108" t="s">
        <x:v>677</x:v>
      </x:c>
      <x:c r="K115" s="109" t="s">
        <x:v>232</x:v>
      </x:c>
      <x:c r="L115" s="108"/>
      <x:c r="M115" s="108" t="s">
        <x:v>655</x:v>
      </x:c>
      <x:c r="N115" s="108" t="s">
        <x:v>238</x:v>
      </x:c>
      <x:c r="O115" s="108"/>
    </x:row>
    <x:row r="116" ht="7.400000095367432" hidden="1" customHeight="1">
      <x:c r="A116" s="104">
        <x:v>115</x:v>
      </x:c>
      <x:c r="B116" s="105" t="s">
        <x:v>132</x:v>
      </x:c>
      <x:c r="C116" s="104" t="s">
        <x:v>678</x:v>
      </x:c>
      <x:c r="D116" s="105" t="s">
        <x:v>679</x:v>
      </x:c>
      <x:c r="E116" s="113" t="s">
        <x:v>86</x:v>
      </x:c>
      <x:c r="F116" s="114"/>
      <x:c r="G116" s="107" t="s">
        <x:v>74</x:v>
      </x:c>
      <x:c r="H116" s="105" t="s">
        <x:v>680</x:v>
      </x:c>
      <x:c r="I116" s="105" t="s">
        <x:v>483</x:v>
      </x:c>
      <x:c r="J116" s="104" t="s">
        <x:v>133</x:v>
      </x:c>
      <x:c r="K116" s="105" t="s">
        <x:v>232</x:v>
      </x:c>
      <x:c r="L116" s="104"/>
      <x:c r="M116" s="104" t="s">
        <x:v>681</x:v>
      </x:c>
      <x:c r="N116" s="104" t="s">
        <x:v>251</x:v>
      </x:c>
      <x:c r="O116" s="104"/>
    </x:row>
    <x:row r="117" ht="7.400000095367432" hidden="1" customHeight="1">
      <x:c r="A117" s="108">
        <x:v>116</x:v>
      </x:c>
      <x:c r="B117" s="109" t="s">
        <x:v>132</x:v>
      </x:c>
      <x:c r="C117" s="108" t="s">
        <x:v>682</x:v>
      </x:c>
      <x:c r="D117" s="109" t="s">
        <x:v>683</x:v>
      </x:c>
      <x:c r="E117" s="113" t="s">
        <x:v>86</x:v>
      </x:c>
      <x:c r="F117" s="115"/>
      <x:c r="G117" s="107" t="s">
        <x:v>74</x:v>
      </x:c>
      <x:c r="H117" s="109" t="s">
        <x:v>680</x:v>
      </x:c>
      <x:c r="I117" s="109" t="s">
        <x:v>483</x:v>
      </x:c>
      <x:c r="J117" s="108" t="s">
        <x:v>133</x:v>
      </x:c>
      <x:c r="K117" s="109" t="s">
        <x:v>232</x:v>
      </x:c>
      <x:c r="L117" s="108"/>
      <x:c r="M117" s="108" t="s">
        <x:v>681</x:v>
      </x:c>
      <x:c r="N117" s="108" t="s">
        <x:v>251</x:v>
      </x:c>
      <x:c r="O117" s="108"/>
    </x:row>
    <x:row r="118" ht="7.400000095367432" hidden="1" customHeight="1">
      <x:c r="A118" s="104">
        <x:v>117</x:v>
      </x:c>
      <x:c r="B118" s="105" t="s">
        <x:v>132</x:v>
      </x:c>
      <x:c r="C118" s="104" t="s">
        <x:v>684</x:v>
      </x:c>
      <x:c r="D118" s="105" t="s">
        <x:v>685</x:v>
      </x:c>
      <x:c r="E118" s="113" t="s">
        <x:v>86</x:v>
      </x:c>
      <x:c r="F118" s="114"/>
      <x:c r="G118" s="107" t="s">
        <x:v>74</x:v>
      </x:c>
      <x:c r="H118" s="105" t="s">
        <x:v>680</x:v>
      </x:c>
      <x:c r="I118" s="105" t="s">
        <x:v>483</x:v>
      </x:c>
      <x:c r="J118" s="104" t="s">
        <x:v>133</x:v>
      </x:c>
      <x:c r="K118" s="105" t="s">
        <x:v>232</x:v>
      </x:c>
      <x:c r="L118" s="104"/>
      <x:c r="M118" s="104" t="s">
        <x:v>681</x:v>
      </x:c>
      <x:c r="N118" s="104" t="s">
        <x:v>251</x:v>
      </x:c>
      <x:c r="O118" s="104"/>
    </x:row>
    <x:row r="119" ht="7.400000095367432" hidden="1" customHeight="1">
      <x:c r="A119" s="108">
        <x:v>118</x:v>
      </x:c>
      <x:c r="B119" s="109" t="s">
        <x:v>132</x:v>
      </x:c>
      <x:c r="C119" s="108" t="s">
        <x:v>686</x:v>
      </x:c>
      <x:c r="D119" s="109" t="s">
        <x:v>687</x:v>
      </x:c>
      <x:c r="E119" s="113" t="s">
        <x:v>86</x:v>
      </x:c>
      <x:c r="F119" s="115"/>
      <x:c r="G119" s="107" t="s">
        <x:v>74</x:v>
      </x:c>
      <x:c r="H119" s="109" t="s">
        <x:v>237</x:v>
      </x:c>
      <x:c r="I119" s="109" t="s">
        <x:v>483</x:v>
      </x:c>
      <x:c r="J119" s="108" t="s">
        <x:v>658</x:v>
      </x:c>
      <x:c r="K119" s="109" t="s">
        <x:v>232</x:v>
      </x:c>
      <x:c r="L119" s="108"/>
      <x:c r="M119" s="108" t="s">
        <x:v>681</x:v>
      </x:c>
      <x:c r="N119" s="108" t="s">
        <x:v>234</x:v>
      </x:c>
      <x:c r="O119" s="108"/>
    </x:row>
    <x:row r="120" ht="7.400000095367432" hidden="1" customHeight="1">
      <x:c r="A120" s="104">
        <x:v>119</x:v>
      </x:c>
      <x:c r="B120" s="105" t="s">
        <x:v>132</x:v>
      </x:c>
      <x:c r="C120" s="104" t="s">
        <x:v>688</x:v>
      </x:c>
      <x:c r="D120" s="105" t="s">
        <x:v>689</x:v>
      </x:c>
      <x:c r="E120" s="113" t="s">
        <x:v>86</x:v>
      </x:c>
      <x:c r="F120" s="114"/>
      <x:c r="G120" s="107" t="s">
        <x:v>74</x:v>
      </x:c>
      <x:c r="H120" s="105" t="s">
        <x:v>680</x:v>
      </x:c>
      <x:c r="I120" s="105" t="s">
        <x:v>483</x:v>
      </x:c>
      <x:c r="J120" s="104" t="s">
        <x:v>690</x:v>
      </x:c>
      <x:c r="K120" s="105" t="s">
        <x:v>232</x:v>
      </x:c>
      <x:c r="L120" s="104"/>
      <x:c r="M120" s="104" t="s">
        <x:v>681</x:v>
      </x:c>
      <x:c r="N120" s="104" t="s">
        <x:v>251</x:v>
      </x:c>
      <x:c r="O120" s="104"/>
    </x:row>
    <x:row r="121" ht="7.400000095367432" hidden="1" customHeight="1">
      <x:c r="A121" s="108">
        <x:v>120</x:v>
      </x:c>
      <x:c r="B121" s="109" t="s">
        <x:v>132</x:v>
      </x:c>
      <x:c r="C121" s="108" t="s">
        <x:v>691</x:v>
      </x:c>
      <x:c r="D121" s="109" t="s">
        <x:v>692</x:v>
      </x:c>
      <x:c r="E121" s="113" t="s">
        <x:v>86</x:v>
      </x:c>
      <x:c r="F121" s="115"/>
      <x:c r="G121" s="107" t="s">
        <x:v>74</x:v>
      </x:c>
      <x:c r="H121" s="109" t="s">
        <x:v>680</x:v>
      </x:c>
      <x:c r="I121" s="109" t="s">
        <x:v>483</x:v>
      </x:c>
      <x:c r="J121" s="108" t="s">
        <x:v>693</x:v>
      </x:c>
      <x:c r="K121" s="109" t="s">
        <x:v>232</x:v>
      </x:c>
      <x:c r="L121" s="108"/>
      <x:c r="M121" s="108" t="s">
        <x:v>681</x:v>
      </x:c>
      <x:c r="N121" s="108" t="s">
        <x:v>234</x:v>
      </x:c>
      <x:c r="O121" s="108"/>
    </x:row>
    <x:row r="122" ht="7.400000095367432" hidden="1" customHeight="1">
      <x:c r="A122" s="104">
        <x:v>121</x:v>
      </x:c>
      <x:c r="B122" s="105" t="s">
        <x:v>132</x:v>
      </x:c>
      <x:c r="C122" s="104" t="s">
        <x:v>694</x:v>
      </x:c>
      <x:c r="D122" s="105" t="s">
        <x:v>695</x:v>
      </x:c>
      <x:c r="E122" s="113" t="s">
        <x:v>86</x:v>
      </x:c>
      <x:c r="F122" s="114"/>
      <x:c r="G122" s="107" t="s">
        <x:v>74</x:v>
      </x:c>
      <x:c r="H122" s="105" t="s">
        <x:v>680</x:v>
      </x:c>
      <x:c r="I122" s="105" t="s">
        <x:v>483</x:v>
      </x:c>
      <x:c r="J122" s="104" t="s">
        <x:v>677</x:v>
      </x:c>
      <x:c r="K122" s="105" t="s">
        <x:v>232</x:v>
      </x:c>
      <x:c r="L122" s="104"/>
      <x:c r="M122" s="104" t="s">
        <x:v>681</x:v>
      </x:c>
      <x:c r="N122" s="104" t="s">
        <x:v>234</x:v>
      </x:c>
      <x:c r="O122" s="105" t="s">
        <x:v>696</x:v>
      </x:c>
    </x:row>
    <x:row r="123" ht="7.400000095367432" hidden="1" customHeight="1">
      <x:c r="A123" s="108">
        <x:v>122</x:v>
      </x:c>
      <x:c r="B123" s="109" t="s">
        <x:v>132</x:v>
      </x:c>
      <x:c r="C123" s="108" t="s">
        <x:v>697</x:v>
      </x:c>
      <x:c r="D123" s="109" t="s">
        <x:v>698</x:v>
      </x:c>
      <x:c r="E123" s="113" t="s">
        <x:v>86</x:v>
      </x:c>
      <x:c r="F123" s="115"/>
      <x:c r="G123" s="107" t="s">
        <x:v>74</x:v>
      </x:c>
      <x:c r="H123" s="109" t="s">
        <x:v>231</x:v>
      </x:c>
      <x:c r="I123" s="109" t="s">
        <x:v>483</x:v>
      </x:c>
      <x:c r="J123" s="108" t="s">
        <x:v>699</x:v>
      </x:c>
      <x:c r="K123" s="109" t="s">
        <x:v>232</x:v>
      </x:c>
      <x:c r="L123" s="108"/>
      <x:c r="M123" s="108" t="s">
        <x:v>681</x:v>
      </x:c>
      <x:c r="N123" s="108" t="s">
        <x:v>238</x:v>
      </x:c>
      <x:c r="O123" s="108"/>
    </x:row>
    <x:row r="124" ht="7.400000095367432" hidden="1" customHeight="1">
      <x:c r="A124" s="104">
        <x:v>123</x:v>
      </x:c>
      <x:c r="B124" s="105" t="s">
        <x:v>132</x:v>
      </x:c>
      <x:c r="C124" s="104" t="s">
        <x:v>700</x:v>
      </x:c>
      <x:c r="D124" s="105" t="s">
        <x:v>701</x:v>
      </x:c>
      <x:c r="E124" s="113" t="s">
        <x:v>86</x:v>
      </x:c>
      <x:c r="F124" s="114"/>
      <x:c r="G124" s="107" t="s">
        <x:v>74</x:v>
      </x:c>
      <x:c r="H124" s="105" t="s">
        <x:v>250</x:v>
      </x:c>
      <x:c r="I124" s="105" t="s">
        <x:v>483</x:v>
      </x:c>
      <x:c r="J124" s="104" t="s">
        <x:v>702</x:v>
      </x:c>
      <x:c r="K124" s="105" t="s">
        <x:v>232</x:v>
      </x:c>
      <x:c r="L124" s="104"/>
      <x:c r="M124" s="104" t="s">
        <x:v>681</x:v>
      </x:c>
      <x:c r="N124" s="104" t="s">
        <x:v>703</x:v>
      </x:c>
      <x:c r="O124" s="104"/>
    </x:row>
    <x:row r="125" ht="7.400000095367432" hidden="1" customHeight="1">
      <x:c r="A125" s="108">
        <x:v>124</x:v>
      </x:c>
      <x:c r="B125" s="109" t="s">
        <x:v>134</x:v>
      </x:c>
      <x:c r="C125" s="108" t="s">
        <x:v>704</x:v>
      </x:c>
      <x:c r="D125" s="109" t="s">
        <x:v>705</x:v>
      </x:c>
      <x:c r="E125" s="113" t="s">
        <x:v>86</x:v>
      </x:c>
      <x:c r="F125" s="115"/>
      <x:c r="G125" s="107" t="s">
        <x:v>74</x:v>
      </x:c>
      <x:c r="H125" s="109" t="s">
        <x:v>237</x:v>
      </x:c>
      <x:c r="I125" s="109" t="s">
        <x:v>483</x:v>
      </x:c>
      <x:c r="J125" s="108" t="s">
        <x:v>135</x:v>
      </x:c>
      <x:c r="K125" s="109" t="s">
        <x:v>232</x:v>
      </x:c>
      <x:c r="L125" s="108"/>
      <x:c r="M125" s="108" t="s">
        <x:v>706</x:v>
      </x:c>
      <x:c r="N125" s="108" t="s">
        <x:v>234</x:v>
      </x:c>
      <x:c r="O125" s="108"/>
    </x:row>
    <x:row r="126" ht="7.400000095367432" hidden="1" customHeight="1">
      <x:c r="A126" s="104">
        <x:v>125</x:v>
      </x:c>
      <x:c r="B126" s="105" t="s">
        <x:v>134</x:v>
      </x:c>
      <x:c r="C126" s="104" t="s">
        <x:v>707</x:v>
      </x:c>
      <x:c r="D126" s="105" t="s">
        <x:v>708</x:v>
      </x:c>
      <x:c r="E126" s="113" t="s">
        <x:v>86</x:v>
      </x:c>
      <x:c r="F126" s="114"/>
      <x:c r="G126" s="107" t="s">
        <x:v>74</x:v>
      </x:c>
      <x:c r="H126" s="105" t="s">
        <x:v>237</x:v>
      </x:c>
      <x:c r="I126" s="105" t="s">
        <x:v>483</x:v>
      </x:c>
      <x:c r="J126" s="104" t="s">
        <x:v>709</x:v>
      </x:c>
      <x:c r="K126" s="105" t="s">
        <x:v>232</x:v>
      </x:c>
      <x:c r="L126" s="104"/>
      <x:c r="M126" s="104" t="s">
        <x:v>706</x:v>
      </x:c>
      <x:c r="N126" s="104" t="s">
        <x:v>251</x:v>
      </x:c>
      <x:c r="O126" s="104"/>
    </x:row>
    <x:row r="127" ht="7.400000095367432" hidden="1" customHeight="1">
      <x:c r="A127" s="108">
        <x:v>126</x:v>
      </x:c>
      <x:c r="B127" s="109" t="s">
        <x:v>134</x:v>
      </x:c>
      <x:c r="C127" s="108" t="s">
        <x:v>710</x:v>
      </x:c>
      <x:c r="D127" s="109" t="s">
        <x:v>711</x:v>
      </x:c>
      <x:c r="E127" s="110" t="s">
        <x:v>77</x:v>
      </x:c>
      <x:c r="F127" s="115"/>
      <x:c r="G127" s="107" t="s">
        <x:v>74</x:v>
      </x:c>
      <x:c r="H127" s="109" t="s">
        <x:v>237</x:v>
      </x:c>
      <x:c r="I127" s="109" t="s">
        <x:v>483</x:v>
      </x:c>
      <x:c r="J127" s="108" t="s">
        <x:v>712</x:v>
      </x:c>
      <x:c r="K127" s="109" t="s">
        <x:v>232</x:v>
      </x:c>
      <x:c r="L127" s="108"/>
      <x:c r="M127" s="108" t="s">
        <x:v>706</x:v>
      </x:c>
      <x:c r="N127" s="108" t="s">
        <x:v>541</x:v>
      </x:c>
      <x:c r="O127" s="108"/>
    </x:row>
    <x:row r="128" ht="7.400000095367432" hidden="1" customHeight="1">
      <x:c r="A128" s="104">
        <x:v>127</x:v>
      </x:c>
      <x:c r="B128" s="105" t="s">
        <x:v>134</x:v>
      </x:c>
      <x:c r="C128" s="104" t="s">
        <x:v>713</x:v>
      </x:c>
      <x:c r="D128" s="105" t="s">
        <x:v>714</x:v>
      </x:c>
      <x:c r="E128" s="110" t="s">
        <x:v>77</x:v>
      </x:c>
      <x:c r="F128" s="114"/>
      <x:c r="G128" s="107" t="s">
        <x:v>74</x:v>
      </x:c>
      <x:c r="H128" s="105" t="s">
        <x:v>237</x:v>
      </x:c>
      <x:c r="I128" s="105" t="s">
        <x:v>483</x:v>
      </x:c>
      <x:c r="J128" s="104" t="s">
        <x:v>572</x:v>
      </x:c>
      <x:c r="K128" s="105" t="s">
        <x:v>232</x:v>
      </x:c>
      <x:c r="L128" s="104"/>
      <x:c r="M128" s="104" t="s">
        <x:v>706</x:v>
      </x:c>
      <x:c r="N128" s="104" t="s">
        <x:v>251</x:v>
      </x:c>
      <x:c r="O128" s="104"/>
    </x:row>
    <x:row r="129" ht="7.400000095367432" hidden="1" customHeight="1">
      <x:c r="A129" s="108">
        <x:v>128</x:v>
      </x:c>
      <x:c r="B129" s="109" t="s">
        <x:v>136</x:v>
      </x:c>
      <x:c r="C129" s="108" t="s">
        <x:v>715</x:v>
      </x:c>
      <x:c r="D129" s="109" t="s">
        <x:v>716</x:v>
      </x:c>
      <x:c r="E129" s="113" t="s">
        <x:v>86</x:v>
      </x:c>
      <x:c r="F129" s="115"/>
      <x:c r="G129" s="107" t="s">
        <x:v>74</x:v>
      </x:c>
      <x:c r="H129" s="109" t="s">
        <x:v>231</x:v>
      </x:c>
      <x:c r="I129" s="109" t="s">
        <x:v>717</x:v>
      </x:c>
      <x:c r="J129" s="108" t="s">
        <x:v>718</x:v>
      </x:c>
      <x:c r="K129" s="109" t="s">
        <x:v>232</x:v>
      </x:c>
      <x:c r="L129" s="108"/>
      <x:c r="M129" s="108" t="s">
        <x:v>719</x:v>
      </x:c>
      <x:c r="N129" s="108" t="s">
        <x:v>238</x:v>
      </x:c>
      <x:c r="O129" s="109" t="s">
        <x:v>720</x:v>
      </x:c>
    </x:row>
    <x:row r="130" ht="7.400000095367432" hidden="1" customHeight="1">
      <x:c r="A130" s="104">
        <x:v>129</x:v>
      </x:c>
      <x:c r="B130" s="105" t="s">
        <x:v>136</x:v>
      </x:c>
      <x:c r="C130" s="104" t="s">
        <x:v>721</x:v>
      </x:c>
      <x:c r="D130" s="105" t="s">
        <x:v>722</x:v>
      </x:c>
      <x:c r="E130" s="113" t="s">
        <x:v>86</x:v>
      </x:c>
      <x:c r="F130" s="114"/>
      <x:c r="G130" s="107" t="s">
        <x:v>74</x:v>
      </x:c>
      <x:c r="H130" s="105" t="s">
        <x:v>231</x:v>
      </x:c>
      <x:c r="I130" s="105" t="s">
        <x:v>717</x:v>
      </x:c>
      <x:c r="J130" s="104" t="s">
        <x:v>137</x:v>
      </x:c>
      <x:c r="K130" s="105" t="s">
        <x:v>232</x:v>
      </x:c>
      <x:c r="L130" s="104"/>
      <x:c r="M130" s="104" t="s">
        <x:v>719</x:v>
      </x:c>
      <x:c r="N130" s="105" t="s">
        <x:v>566</x:v>
      </x:c>
      <x:c r="O130" s="105" t="s">
        <x:v>723</x:v>
      </x:c>
    </x:row>
    <x:row r="131" ht="7.400000095367432" hidden="1" customHeight="1">
      <x:c r="A131" s="108">
        <x:v>130</x:v>
      </x:c>
      <x:c r="B131" s="109" t="s">
        <x:v>136</x:v>
      </x:c>
      <x:c r="C131" s="108" t="s">
        <x:v>724</x:v>
      </x:c>
      <x:c r="D131" s="109" t="s">
        <x:v>725</x:v>
      </x:c>
      <x:c r="E131" s="113" t="s">
        <x:v>86</x:v>
      </x:c>
      <x:c r="F131" s="115"/>
      <x:c r="G131" s="107" t="s">
        <x:v>74</x:v>
      </x:c>
      <x:c r="H131" s="109" t="s">
        <x:v>231</x:v>
      </x:c>
      <x:c r="I131" s="109" t="s">
        <x:v>717</x:v>
      </x:c>
      <x:c r="J131" s="108" t="s">
        <x:v>137</x:v>
      </x:c>
      <x:c r="K131" s="109" t="s">
        <x:v>232</x:v>
      </x:c>
      <x:c r="L131" s="108"/>
      <x:c r="M131" s="108" t="s">
        <x:v>719</x:v>
      </x:c>
      <x:c r="N131" s="109" t="s">
        <x:v>566</x:v>
      </x:c>
      <x:c r="O131" s="108"/>
    </x:row>
    <x:row r="132" ht="7.400000095367432" hidden="1" customHeight="1">
      <x:c r="A132" s="104">
        <x:v>131</x:v>
      </x:c>
      <x:c r="B132" s="105" t="s">
        <x:v>136</x:v>
      </x:c>
      <x:c r="C132" s="104" t="s">
        <x:v>726</x:v>
      </x:c>
      <x:c r="D132" s="105" t="s">
        <x:v>727</x:v>
      </x:c>
      <x:c r="E132" s="113" t="s">
        <x:v>86</x:v>
      </x:c>
      <x:c r="F132" s="114"/>
      <x:c r="G132" s="107" t="s">
        <x:v>74</x:v>
      </x:c>
      <x:c r="H132" s="105" t="s">
        <x:v>231</x:v>
      </x:c>
      <x:c r="I132" s="105" t="s">
        <x:v>717</x:v>
      </x:c>
      <x:c r="J132" s="104" t="s">
        <x:v>565</x:v>
      </x:c>
      <x:c r="K132" s="105" t="s">
        <x:v>232</x:v>
      </x:c>
      <x:c r="L132" s="104"/>
      <x:c r="M132" s="104" t="s">
        <x:v>719</x:v>
      </x:c>
      <x:c r="N132" s="105" t="s">
        <x:v>728</x:v>
      </x:c>
      <x:c r="O132" s="104"/>
    </x:row>
    <x:row r="133" ht="7.400000095367432" hidden="1" customHeight="1">
      <x:c r="A133" s="108">
        <x:v>132</x:v>
      </x:c>
      <x:c r="B133" s="109" t="s">
        <x:v>136</x:v>
      </x:c>
      <x:c r="C133" s="108" t="s">
        <x:v>729</x:v>
      </x:c>
      <x:c r="D133" s="109" t="s">
        <x:v>730</x:v>
      </x:c>
      <x:c r="E133" s="113" t="s">
        <x:v>86</x:v>
      </x:c>
      <x:c r="F133" s="115"/>
      <x:c r="G133" s="107" t="s">
        <x:v>74</x:v>
      </x:c>
      <x:c r="H133" s="109" t="s">
        <x:v>231</x:v>
      </x:c>
      <x:c r="I133" s="109" t="s">
        <x:v>717</x:v>
      </x:c>
      <x:c r="J133" s="108" t="s">
        <x:v>665</x:v>
      </x:c>
      <x:c r="K133" s="109" t="s">
        <x:v>232</x:v>
      </x:c>
      <x:c r="L133" s="108"/>
      <x:c r="M133" s="108" t="s">
        <x:v>719</x:v>
      </x:c>
      <x:c r="N133" s="109" t="s">
        <x:v>566</x:v>
      </x:c>
      <x:c r="O133" s="108"/>
    </x:row>
    <x:row r="134" ht="7.400000095367432" hidden="1" customHeight="1">
      <x:c r="A134" s="104">
        <x:v>133</x:v>
      </x:c>
      <x:c r="B134" s="105" t="s">
        <x:v>136</x:v>
      </x:c>
      <x:c r="C134" s="104" t="s">
        <x:v>731</x:v>
      </x:c>
      <x:c r="D134" s="105" t="s">
        <x:v>732</x:v>
      </x:c>
      <x:c r="E134" s="113" t="s">
        <x:v>86</x:v>
      </x:c>
      <x:c r="F134" s="114"/>
      <x:c r="G134" s="107" t="s">
        <x:v>74</x:v>
      </x:c>
      <x:c r="H134" s="105" t="s">
        <x:v>231</x:v>
      </x:c>
      <x:c r="I134" s="105" t="s">
        <x:v>717</x:v>
      </x:c>
      <x:c r="J134" s="104" t="s">
        <x:v>137</x:v>
      </x:c>
      <x:c r="K134" s="105" t="s">
        <x:v>232</x:v>
      </x:c>
      <x:c r="L134" s="104"/>
      <x:c r="M134" s="104" t="s">
        <x:v>719</x:v>
      </x:c>
      <x:c r="N134" s="104" t="s">
        <x:v>238</x:v>
      </x:c>
      <x:c r="O134" s="104"/>
    </x:row>
    <x:row r="135" ht="7.400000095367432" hidden="1" customHeight="1">
      <x:c r="A135" s="108">
        <x:v>134</x:v>
      </x:c>
      <x:c r="B135" s="109" t="s">
        <x:v>136</x:v>
      </x:c>
      <x:c r="C135" s="108" t="s">
        <x:v>733</x:v>
      </x:c>
      <x:c r="D135" s="109" t="s">
        <x:v>734</x:v>
      </x:c>
      <x:c r="E135" s="113" t="s">
        <x:v>86</x:v>
      </x:c>
      <x:c r="F135" s="115"/>
      <x:c r="G135" s="107" t="s">
        <x:v>74</x:v>
      </x:c>
      <x:c r="H135" s="109" t="s">
        <x:v>237</x:v>
      </x:c>
      <x:c r="I135" s="109" t="s">
        <x:v>717</x:v>
      </x:c>
      <x:c r="J135" s="108" t="s">
        <x:v>137</x:v>
      </x:c>
      <x:c r="K135" s="109" t="s">
        <x:v>232</x:v>
      </x:c>
      <x:c r="L135" s="108"/>
      <x:c r="M135" s="108" t="s">
        <x:v>719</x:v>
      </x:c>
      <x:c r="N135" s="109" t="s">
        <x:v>735</x:v>
      </x:c>
      <x:c r="O135" s="109" t="s">
        <x:v>736</x:v>
      </x:c>
    </x:row>
    <x:row r="136" ht="7.400000095367432" hidden="1" customHeight="1">
      <x:c r="A136" s="104">
        <x:v>135</x:v>
      </x:c>
      <x:c r="B136" s="105" t="s">
        <x:v>136</x:v>
      </x:c>
      <x:c r="C136" s="104" t="s">
        <x:v>737</x:v>
      </x:c>
      <x:c r="D136" s="105" t="s">
        <x:v>738</x:v>
      </x:c>
      <x:c r="E136" s="113" t="s">
        <x:v>86</x:v>
      </x:c>
      <x:c r="F136" s="114"/>
      <x:c r="G136" s="107" t="s">
        <x:v>74</x:v>
      </x:c>
      <x:c r="H136" s="105" t="s">
        <x:v>231</x:v>
      </x:c>
      <x:c r="I136" s="105" t="s">
        <x:v>717</x:v>
      </x:c>
      <x:c r="J136" s="104" t="s">
        <x:v>137</x:v>
      </x:c>
      <x:c r="K136" s="105" t="s">
        <x:v>232</x:v>
      </x:c>
      <x:c r="L136" s="104"/>
      <x:c r="M136" s="104" t="s">
        <x:v>719</x:v>
      </x:c>
      <x:c r="N136" s="104" t="s">
        <x:v>438</x:v>
      </x:c>
      <x:c r="O136" s="104"/>
    </x:row>
    <x:row r="137" ht="7.400000095367432" hidden="1" customHeight="1">
      <x:c r="A137" s="108">
        <x:v>136</x:v>
      </x:c>
      <x:c r="B137" s="109" t="s">
        <x:v>136</x:v>
      </x:c>
      <x:c r="C137" s="108" t="s">
        <x:v>739</x:v>
      </x:c>
      <x:c r="D137" s="109" t="s">
        <x:v>740</x:v>
      </x:c>
      <x:c r="E137" s="113" t="s">
        <x:v>86</x:v>
      </x:c>
      <x:c r="F137" s="115"/>
      <x:c r="G137" s="107" t="s">
        <x:v>74</x:v>
      </x:c>
      <x:c r="H137" s="109" t="s">
        <x:v>237</x:v>
      </x:c>
      <x:c r="I137" s="109" t="s">
        <x:v>717</x:v>
      </x:c>
      <x:c r="J137" s="108" t="s">
        <x:v>741</x:v>
      </x:c>
      <x:c r="K137" s="109" t="s">
        <x:v>232</x:v>
      </x:c>
      <x:c r="L137" s="108"/>
      <x:c r="M137" s="108" t="s">
        <x:v>719</x:v>
      </x:c>
      <x:c r="N137" s="108" t="s">
        <x:v>238</x:v>
      </x:c>
      <x:c r="O137" s="108"/>
    </x:row>
    <x:row r="138" ht="7.400000095367432" hidden="1" customHeight="1">
      <x:c r="A138" s="104">
        <x:v>137</x:v>
      </x:c>
      <x:c r="B138" s="105" t="s">
        <x:v>136</x:v>
      </x:c>
      <x:c r="C138" s="104" t="s">
        <x:v>742</x:v>
      </x:c>
      <x:c r="D138" s="105" t="s">
        <x:v>743</x:v>
      </x:c>
      <x:c r="E138" s="113" t="s">
        <x:v>86</x:v>
      </x:c>
      <x:c r="F138" s="114"/>
      <x:c r="G138" s="107" t="s">
        <x:v>74</x:v>
      </x:c>
      <x:c r="H138" s="105" t="s">
        <x:v>231</x:v>
      </x:c>
      <x:c r="I138" s="105" t="s">
        <x:v>717</x:v>
      </x:c>
      <x:c r="J138" s="104" t="s">
        <x:v>744</x:v>
      </x:c>
      <x:c r="K138" s="105" t="s">
        <x:v>232</x:v>
      </x:c>
      <x:c r="L138" s="104"/>
      <x:c r="M138" s="104" t="s">
        <x:v>719</x:v>
      </x:c>
      <x:c r="N138" s="104" t="s">
        <x:v>238</x:v>
      </x:c>
      <x:c r="O138" s="104"/>
    </x:row>
    <x:row r="139" ht="7.400000095367432" hidden="1" customHeight="1">
      <x:c r="A139" s="108">
        <x:v>138</x:v>
      </x:c>
      <x:c r="B139" s="109" t="s">
        <x:v>136</x:v>
      </x:c>
      <x:c r="C139" s="108" t="s">
        <x:v>745</x:v>
      </x:c>
      <x:c r="D139" s="109" t="s">
        <x:v>746</x:v>
      </x:c>
      <x:c r="E139" s="113" t="s">
        <x:v>86</x:v>
      </x:c>
      <x:c r="F139" s="115"/>
      <x:c r="G139" s="107" t="s">
        <x:v>74</x:v>
      </x:c>
      <x:c r="H139" s="109" t="s">
        <x:v>231</x:v>
      </x:c>
      <x:c r="I139" s="109" t="s">
        <x:v>717</x:v>
      </x:c>
      <x:c r="J139" s="108" t="s">
        <x:v>699</x:v>
      </x:c>
      <x:c r="K139" s="109" t="s">
        <x:v>232</x:v>
      </x:c>
      <x:c r="L139" s="108"/>
      <x:c r="M139" s="108" t="s">
        <x:v>719</x:v>
      </x:c>
      <x:c r="N139" s="108" t="s">
        <x:v>238</x:v>
      </x:c>
      <x:c r="O139" s="108"/>
    </x:row>
    <x:row r="140" ht="7.400000095367432" hidden="1" customHeight="1">
      <x:c r="A140" s="104">
        <x:v>139</x:v>
      </x:c>
      <x:c r="B140" s="105" t="s">
        <x:v>136</x:v>
      </x:c>
      <x:c r="C140" s="104" t="s">
        <x:v>747</x:v>
      </x:c>
      <x:c r="D140" s="105" t="s">
        <x:v>748</x:v>
      </x:c>
      <x:c r="E140" s="113" t="s">
        <x:v>86</x:v>
      </x:c>
      <x:c r="F140" s="114"/>
      <x:c r="G140" s="107" t="s">
        <x:v>74</x:v>
      </x:c>
      <x:c r="H140" s="105" t="s">
        <x:v>231</x:v>
      </x:c>
      <x:c r="I140" s="105" t="s">
        <x:v>717</x:v>
      </x:c>
      <x:c r="J140" s="104" t="s">
        <x:v>137</x:v>
      </x:c>
      <x:c r="K140" s="105" t="s">
        <x:v>232</x:v>
      </x:c>
      <x:c r="L140" s="104"/>
      <x:c r="M140" s="104" t="s">
        <x:v>719</x:v>
      </x:c>
      <x:c r="N140" s="104" t="s">
        <x:v>238</x:v>
      </x:c>
      <x:c r="O140" s="104"/>
    </x:row>
    <x:row r="141" ht="7.400000095367432" hidden="1" customHeight="1">
      <x:c r="A141" s="108">
        <x:v>140</x:v>
      </x:c>
      <x:c r="B141" s="109" t="s">
        <x:v>138</x:v>
      </x:c>
      <x:c r="C141" s="108" t="s">
        <x:v>749</x:v>
      </x:c>
      <x:c r="D141" s="109" t="s">
        <x:v>750</x:v>
      </x:c>
      <x:c r="E141" s="113" t="s">
        <x:v>86</x:v>
      </x:c>
      <x:c r="F141" s="115"/>
      <x:c r="G141" s="107" t="s">
        <x:v>74</x:v>
      </x:c>
      <x:c r="H141" s="109" t="s">
        <x:v>231</x:v>
      </x:c>
      <x:c r="I141" s="109" t="s">
        <x:v>717</x:v>
      </x:c>
      <x:c r="J141" s="108" t="s">
        <x:v>137</x:v>
      </x:c>
      <x:c r="K141" s="109" t="s">
        <x:v>232</x:v>
      </x:c>
      <x:c r="L141" s="108"/>
      <x:c r="M141" s="108" t="s">
        <x:v>751</x:v>
      </x:c>
      <x:c r="N141" s="108" t="s">
        <x:v>537</x:v>
      </x:c>
      <x:c r="O141" s="108"/>
    </x:row>
    <x:row r="142" ht="7.400000095367432" hidden="1" customHeight="1">
      <x:c r="A142" s="104">
        <x:v>141</x:v>
      </x:c>
      <x:c r="B142" s="105" t="s">
        <x:v>138</x:v>
      </x:c>
      <x:c r="C142" s="104" t="s">
        <x:v>752</x:v>
      </x:c>
      <x:c r="D142" s="105" t="s">
        <x:v>753</x:v>
      </x:c>
      <x:c r="E142" s="113" t="s">
        <x:v>86</x:v>
      </x:c>
      <x:c r="F142" s="114"/>
      <x:c r="G142" s="107" t="s">
        <x:v>74</x:v>
      </x:c>
      <x:c r="H142" s="105" t="s">
        <x:v>231</x:v>
      </x:c>
      <x:c r="I142" s="105" t="s">
        <x:v>717</x:v>
      </x:c>
      <x:c r="J142" s="104" t="s">
        <x:v>565</x:v>
      </x:c>
      <x:c r="K142" s="105" t="s">
        <x:v>232</x:v>
      </x:c>
      <x:c r="L142" s="104"/>
      <x:c r="M142" s="104" t="s">
        <x:v>751</x:v>
      </x:c>
      <x:c r="N142" s="104" t="s">
        <x:v>238</x:v>
      </x:c>
      <x:c r="O142" s="104"/>
    </x:row>
    <x:row r="143" ht="7.400000095367432" hidden="1" customHeight="1">
      <x:c r="A143" s="108">
        <x:v>142</x:v>
      </x:c>
      <x:c r="B143" s="109" t="s">
        <x:v>138</x:v>
      </x:c>
      <x:c r="C143" s="108" t="s">
        <x:v>754</x:v>
      </x:c>
      <x:c r="D143" s="109" t="s">
        <x:v>755</x:v>
      </x:c>
      <x:c r="E143" s="113" t="s">
        <x:v>86</x:v>
      </x:c>
      <x:c r="F143" s="115"/>
      <x:c r="G143" s="107" t="s">
        <x:v>74</x:v>
      </x:c>
      <x:c r="H143" s="109" t="s">
        <x:v>250</x:v>
      </x:c>
      <x:c r="I143" s="109" t="s">
        <x:v>717</x:v>
      </x:c>
      <x:c r="J143" s="108" t="s">
        <x:v>135</x:v>
      </x:c>
      <x:c r="K143" s="109" t="s">
        <x:v>232</x:v>
      </x:c>
      <x:c r="L143" s="108"/>
      <x:c r="M143" s="108" t="s">
        <x:v>751</x:v>
      </x:c>
      <x:c r="N143" s="109" t="s">
        <x:v>566</x:v>
      </x:c>
      <x:c r="O143" s="108"/>
    </x:row>
    <x:row r="144" ht="7.400000095367432" hidden="1" customHeight="1">
      <x:c r="A144" s="104">
        <x:v>143</x:v>
      </x:c>
      <x:c r="B144" s="105" t="s">
        <x:v>138</x:v>
      </x:c>
      <x:c r="C144" s="104" t="s">
        <x:v>756</x:v>
      </x:c>
      <x:c r="D144" s="105" t="s">
        <x:v>757</x:v>
      </x:c>
      <x:c r="E144" s="110" t="s">
        <x:v>77</x:v>
      </x:c>
      <x:c r="F144" s="114"/>
      <x:c r="G144" s="111" t="s">
        <x:v>83</x:v>
      </x:c>
      <x:c r="H144" s="105" t="s">
        <x:v>231</x:v>
      </x:c>
      <x:c r="I144" s="105" t="s">
        <x:v>717</x:v>
      </x:c>
      <x:c r="J144" s="104" t="s">
        <x:v>758</x:v>
      </x:c>
      <x:c r="K144" s="105" t="s">
        <x:v>232</x:v>
      </x:c>
      <x:c r="L144" s="104"/>
      <x:c r="M144" s="104" t="s">
        <x:v>751</x:v>
      </x:c>
      <x:c r="N144" s="104" t="s">
        <x:v>238</x:v>
      </x:c>
      <x:c r="O144" s="104"/>
    </x:row>
    <x:row r="145" ht="7.400000095367432" hidden="1" customHeight="1">
      <x:c r="A145" s="108">
        <x:v>144</x:v>
      </x:c>
      <x:c r="B145" s="109" t="s">
        <x:v>138</x:v>
      </x:c>
      <x:c r="C145" s="108" t="s">
        <x:v>759</x:v>
      </x:c>
      <x:c r="D145" s="109" t="s">
        <x:v>760</x:v>
      </x:c>
      <x:c r="E145" s="110" t="s">
        <x:v>77</x:v>
      </x:c>
      <x:c r="F145" s="115"/>
      <x:c r="G145" s="107" t="s">
        <x:v>74</x:v>
      </x:c>
      <x:c r="H145" s="109" t="s">
        <x:v>237</x:v>
      </x:c>
      <x:c r="I145" s="109" t="s">
        <x:v>717</x:v>
      </x:c>
      <x:c r="J145" s="108" t="s">
        <x:v>761</x:v>
      </x:c>
      <x:c r="K145" s="109" t="s">
        <x:v>232</x:v>
      </x:c>
      <x:c r="L145" s="108"/>
      <x:c r="M145" s="108" t="s">
        <x:v>751</x:v>
      </x:c>
      <x:c r="N145" s="108" t="s">
        <x:v>438</x:v>
      </x:c>
      <x:c r="O145" s="108" t="s">
        <x:v>762</x:v>
      </x:c>
    </x:row>
    <x:row r="146" ht="7.400000095367432" hidden="1" customHeight="1">
      <x:c r="A146" s="104">
        <x:v>145</x:v>
      </x:c>
      <x:c r="B146" s="105" t="s">
        <x:v>138</x:v>
      </x:c>
      <x:c r="C146" s="104" t="s">
        <x:v>763</x:v>
      </x:c>
      <x:c r="D146" s="105" t="s">
        <x:v>764</x:v>
      </x:c>
      <x:c r="E146" s="113" t="s">
        <x:v>86</x:v>
      </x:c>
      <x:c r="F146" s="114"/>
      <x:c r="G146" s="107" t="s">
        <x:v>74</x:v>
      </x:c>
      <x:c r="H146" s="105" t="s">
        <x:v>231</x:v>
      </x:c>
      <x:c r="I146" s="105" t="s">
        <x:v>717</x:v>
      </x:c>
      <x:c r="J146" s="104" t="s">
        <x:v>137</x:v>
      </x:c>
      <x:c r="K146" s="105" t="s">
        <x:v>232</x:v>
      </x:c>
      <x:c r="L146" s="104"/>
      <x:c r="M146" s="104" t="s">
        <x:v>751</x:v>
      </x:c>
      <x:c r="N146" s="104" t="s">
        <x:v>234</x:v>
      </x:c>
      <x:c r="O146" s="104"/>
    </x:row>
    <x:row r="147" ht="43.5" customHeight="1">
      <x:c r="A147" s="108">
        <x:v>146</x:v>
      </x:c>
      <x:c r="B147" s="109" t="s">
        <x:v>104</x:v>
      </x:c>
      <x:c r="C147" s="108" t="s">
        <x:v>765</x:v>
      </x:c>
      <x:c r="D147" s="109" t="s">
        <x:v>766</x:v>
      </x:c>
      <x:c r="E147" s="106" t="s">
        <x:v>69</x:v>
      </x:c>
      <x:c r="F147" s="89" t="s">
        <x:v>230</x:v>
      </x:c>
      <x:c r="G147" s="107" t="s">
        <x:v>74</x:v>
      </x:c>
      <x:c r="H147" s="109" t="s">
        <x:v>237</x:v>
      </x:c>
      <x:c r="I147" s="109" t="s">
        <x:v>104</x:v>
      </x:c>
      <x:c r="J147" s="108" t="s">
        <x:v>268</x:v>
      </x:c>
      <x:c r="K147" s="109" t="s">
        <x:v>232</x:v>
      </x:c>
      <x:c r="L147" s="108" t="s">
        <x:v>767</x:v>
      </x:c>
      <x:c r="M147" s="108" t="s">
        <x:v>478</x:v>
      </x:c>
      <x:c r="N147" s="108" t="s">
        <x:v>768</x:v>
      </x:c>
      <x:c r="O147" s="109" t="s">
        <x:v>769</x:v>
      </x:c>
    </x:row>
    <x:row r="148" ht="56.79999923706055" customHeight="1">
      <x:c r="A148" s="104">
        <x:v>147</x:v>
      </x:c>
      <x:c r="B148" s="105" t="s">
        <x:v>104</x:v>
      </x:c>
      <x:c r="C148" s="104" t="s">
        <x:v>770</x:v>
      </x:c>
      <x:c r="D148" s="105" t="s">
        <x:v>771</x:v>
      </x:c>
      <x:c r="E148" s="117" t="s">
        <x:v>77</x:v>
      </x:c>
      <x:c r="F148" s="95" t="s">
        <x:v>267</x:v>
      </x:c>
      <x:c r="G148" s="107" t="s">
        <x:v>74</x:v>
      </x:c>
      <x:c r="H148" s="105" t="s">
        <x:v>237</x:v>
      </x:c>
      <x:c r="I148" s="105" t="s">
        <x:v>104</x:v>
      </x:c>
      <x:c r="J148" s="104" t="s">
        <x:v>268</x:v>
      </x:c>
      <x:c r="K148" s="105" t="s">
        <x:v>232</x:v>
      </x:c>
      <x:c r="L148" s="104" t="s">
        <x:v>772</x:v>
      </x:c>
      <x:c r="M148" s="104" t="s">
        <x:v>478</x:v>
      </x:c>
      <x:c r="N148" s="104" t="s">
        <x:v>773</x:v>
      </x:c>
      <x:c r="O148" s="104" t="s">
        <x:v>270</x:v>
      </x:c>
    </x:row>
    <x:row r="149" ht="7.400000095367432" hidden="1" customHeight="1">
      <x:c r="A149" s="108">
        <x:v>148</x:v>
      </x:c>
      <x:c r="B149" s="109" t="s">
        <x:v>113</x:v>
      </x:c>
      <x:c r="C149" s="108" t="s">
        <x:v>774</x:v>
      </x:c>
      <x:c r="D149" s="109" t="s">
        <x:v>775</x:v>
      </x:c>
      <x:c r="E149" s="106" t="s">
        <x:v>69</x:v>
      </x:c>
      <x:c r="F149" s="115"/>
      <x:c r="G149" s="107" t="s">
        <x:v>74</x:v>
      </x:c>
      <x:c r="H149" s="109" t="s">
        <x:v>231</x:v>
      </x:c>
      <x:c r="I149" s="109" t="s">
        <x:v>483</x:v>
      </x:c>
      <x:c r="J149" s="108" t="s">
        <x:v>115</x:v>
      </x:c>
      <x:c r="K149" s="109" t="s">
        <x:v>232</x:v>
      </x:c>
      <x:c r="L149" s="108" t="s">
        <x:v>776</x:v>
      </x:c>
      <x:c r="M149" s="108" t="s">
        <x:v>519</x:v>
      </x:c>
      <x:c r="N149" s="108" t="s">
        <x:v>777</x:v>
      </x:c>
      <x:c r="O149" s="109" t="s">
        <x:v>778</x:v>
      </x:c>
    </x:row>
    <x:row r="150" ht="58" customHeight="1">
      <x:c r="A150" s="104">
        <x:v>149</x:v>
      </x:c>
      <x:c r="B150" s="105" t="s">
        <x:v>104</x:v>
      </x:c>
      <x:c r="C150" s="104" t="s">
        <x:v>779</x:v>
      </x:c>
      <x:c r="D150" s="105" t="s">
        <x:v>780</x:v>
      </x:c>
      <x:c r="E150" s="106" t="s">
        <x:v>69</x:v>
      </x:c>
      <x:c r="F150" s="89" t="s">
        <x:v>230</x:v>
      </x:c>
      <x:c r="G150" s="107" t="s">
        <x:v>74</x:v>
      </x:c>
      <x:c r="H150" s="105" t="s">
        <x:v>231</x:v>
      </x:c>
      <x:c r="I150" s="105" t="s">
        <x:v>104</x:v>
      </x:c>
      <x:c r="J150" s="104" t="s">
        <x:v>105</x:v>
      </x:c>
      <x:c r="K150" s="105" t="s">
        <x:v>232</x:v>
      </x:c>
      <x:c r="L150" s="104" t="s">
        <x:v>781</x:v>
      </x:c>
      <x:c r="M150" s="104" t="s">
        <x:v>782</x:v>
      </x:c>
      <x:c r="N150" s="104" t="s">
        <x:v>783</x:v>
      </x:c>
      <x:c r="O150" s="104" t="s">
        <x:v>784</x:v>
      </x:c>
    </x:row>
    <x:row r="151" ht="7.400000095367432" hidden="1" customHeight="1">
      <x:c r="A151" s="108">
        <x:v>150</x:v>
      </x:c>
      <x:c r="B151" s="109" t="s">
        <x:v>132</x:v>
      </x:c>
      <x:c r="C151" s="108" t="s">
        <x:v>573</x:v>
      </x:c>
      <x:c r="D151" s="109" t="s">
        <x:v>785</x:v>
      </x:c>
      <x:c r="E151" s="113" t="s">
        <x:v>86</x:v>
      </x:c>
      <x:c r="F151" s="115"/>
      <x:c r="G151" s="107" t="s">
        <x:v>74</x:v>
      </x:c>
      <x:c r="H151" s="109" t="s">
        <x:v>680</x:v>
      </x:c>
      <x:c r="I151" s="109" t="s">
        <x:v>483</x:v>
      </x:c>
      <x:c r="J151" s="108" t="s">
        <x:v>262</x:v>
      </x:c>
      <x:c r="K151" s="109" t="s">
        <x:v>232</x:v>
      </x:c>
      <x:c r="L151" s="108" t="s">
        <x:v>786</x:v>
      </x:c>
      <x:c r="M151" s="108" t="s">
        <x:v>681</x:v>
      </x:c>
      <x:c r="N151" s="109" t="s">
        <x:v>787</x:v>
      </x:c>
      <x:c r="O151" s="108" t="s">
        <x:v>788</x:v>
      </x:c>
    </x:row>
    <x:row r="152" ht="56.79999923706055" customHeight="1">
      <x:c r="A152" s="104">
        <x:v>151</x:v>
      </x:c>
      <x:c r="B152" s="105" t="s">
        <x:v>104</x:v>
      </x:c>
      <x:c r="C152" s="104" t="s">
        <x:v>789</x:v>
      </x:c>
      <x:c r="D152" s="105" t="s">
        <x:v>790</x:v>
      </x:c>
      <x:c r="E152" s="110" t="s">
        <x:v>77</x:v>
      </x:c>
      <x:c r="F152" s="95" t="s">
        <x:v>267</x:v>
      </x:c>
      <x:c r="G152" s="107" t="s">
        <x:v>74</x:v>
      </x:c>
      <x:c r="H152" s="105" t="s">
        <x:v>237</x:v>
      </x:c>
      <x:c r="I152" s="105" t="s">
        <x:v>104</x:v>
      </x:c>
      <x:c r="J152" s="104" t="s">
        <x:v>105</x:v>
      </x:c>
      <x:c r="K152" s="105" t="s">
        <x:v>791</x:v>
      </x:c>
      <x:c r="L152" s="104" t="s">
        <x:v>792</x:v>
      </x:c>
      <x:c r="M152" s="104" t="s">
        <x:v>793</x:v>
      </x:c>
      <x:c r="N152" s="104" t="s">
        <x:v>794</x:v>
      </x:c>
      <x:c r="O152" s="104" t="s">
        <x:v>270</x:v>
      </x:c>
    </x:row>
    <x:row r="153" ht="43.650001525878906" customHeight="1">
      <x:c r="A153" s="108">
        <x:v>152</x:v>
      </x:c>
      <x:c r="B153" s="109" t="s">
        <x:v>104</x:v>
      </x:c>
      <x:c r="C153" s="108" t="s">
        <x:v>795</x:v>
      </x:c>
      <x:c r="D153" s="109" t="s">
        <x:v>796</x:v>
      </x:c>
      <x:c r="E153" s="110" t="s">
        <x:v>77</x:v>
      </x:c>
      <x:c r="F153" s="95" t="s">
        <x:v>267</x:v>
      </x:c>
      <x:c r="G153" s="107" t="s">
        <x:v>74</x:v>
      </x:c>
      <x:c r="H153" s="109" t="s">
        <x:v>237</x:v>
      </x:c>
      <x:c r="I153" s="109" t="s">
        <x:v>104</x:v>
      </x:c>
      <x:c r="J153" s="108" t="s">
        <x:v>268</x:v>
      </x:c>
      <x:c r="K153" s="109" t="s">
        <x:v>791</x:v>
      </x:c>
      <x:c r="L153" s="108" t="s">
        <x:v>797</x:v>
      </x:c>
      <x:c r="M153" s="108" t="s">
        <x:v>793</x:v>
      </x:c>
      <x:c r="N153" s="108" t="s">
        <x:v>798</x:v>
      </x:c>
      <x:c r="O153" s="108" t="s">
        <x:v>270</x:v>
      </x:c>
    </x:row>
    <x:row r="154" ht="83.25" customHeight="1">
      <x:c r="A154" s="104">
        <x:v>153</x:v>
      </x:c>
      <x:c r="B154" s="105" t="s">
        <x:v>104</x:v>
      </x:c>
      <x:c r="C154" s="104" t="s">
        <x:v>799</x:v>
      </x:c>
      <x:c r="D154" s="105" t="s">
        <x:v>800</x:v>
      </x:c>
      <x:c r="E154" s="110" t="s">
        <x:v>77</x:v>
      </x:c>
      <x:c r="F154" s="95" t="s">
        <x:v>267</x:v>
      </x:c>
      <x:c r="G154" s="107" t="s">
        <x:v>74</x:v>
      </x:c>
      <x:c r="H154" s="105" t="s">
        <x:v>237</x:v>
      </x:c>
      <x:c r="I154" s="105" t="s">
        <x:v>104</x:v>
      </x:c>
      <x:c r="J154" s="104" t="s">
        <x:v>268</x:v>
      </x:c>
      <x:c r="K154" s="105" t="s">
        <x:v>791</x:v>
      </x:c>
      <x:c r="L154" s="104" t="s">
        <x:v>801</x:v>
      </x:c>
      <x:c r="M154" s="104" t="s">
        <x:v>793</x:v>
      </x:c>
      <x:c r="N154" s="104" t="s">
        <x:v>802</x:v>
      </x:c>
      <x:c r="O154" s="104" t="s">
        <x:v>270</x:v>
      </x:c>
    </x:row>
    <x:row r="155" ht="70" customHeight="1">
      <x:c r="A155" s="108">
        <x:v>154</x:v>
      </x:c>
      <x:c r="B155" s="109" t="s">
        <x:v>104</x:v>
      </x:c>
      <x:c r="C155" s="108" t="s">
        <x:v>803</x:v>
      </x:c>
      <x:c r="D155" s="109" t="s">
        <x:v>804</x:v>
      </x:c>
      <x:c r="E155" s="110" t="s">
        <x:v>77</x:v>
      </x:c>
      <x:c r="F155" s="95" t="s">
        <x:v>267</x:v>
      </x:c>
      <x:c r="G155" s="107" t="s">
        <x:v>74</x:v>
      </x:c>
      <x:c r="H155" s="109" t="s">
        <x:v>237</x:v>
      </x:c>
      <x:c r="I155" s="109" t="s">
        <x:v>104</x:v>
      </x:c>
      <x:c r="J155" s="108" t="s">
        <x:v>105</x:v>
      </x:c>
      <x:c r="K155" s="109" t="s">
        <x:v>791</x:v>
      </x:c>
      <x:c r="L155" s="108" t="s">
        <x:v>805</x:v>
      </x:c>
      <x:c r="M155" s="108" t="s">
        <x:v>793</x:v>
      </x:c>
      <x:c r="N155" s="108" t="s">
        <x:v>806</x:v>
      </x:c>
      <x:c r="O155" s="108" t="s">
        <x:v>270</x:v>
      </x:c>
    </x:row>
    <x:row r="156" ht="56.79999923706055" customHeight="1">
      <x:c r="A156" s="104">
        <x:v>155</x:v>
      </x:c>
      <x:c r="B156" s="105" t="s">
        <x:v>104</x:v>
      </x:c>
      <x:c r="C156" s="104" t="s">
        <x:v>807</x:v>
      </x:c>
      <x:c r="D156" s="105" t="s">
        <x:v>808</x:v>
      </x:c>
      <x:c r="E156" s="110" t="s">
        <x:v>77</x:v>
      </x:c>
      <x:c r="F156" s="95" t="s">
        <x:v>267</x:v>
      </x:c>
      <x:c r="G156" s="111" t="s">
        <x:v>83</x:v>
      </x:c>
      <x:c r="H156" s="105" t="s">
        <x:v>237</x:v>
      </x:c>
      <x:c r="I156" s="105" t="s">
        <x:v>104</x:v>
      </x:c>
      <x:c r="J156" s="104" t="s">
        <x:v>268</x:v>
      </x:c>
      <x:c r="K156" s="105" t="s">
        <x:v>791</x:v>
      </x:c>
      <x:c r="L156" s="104" t="s">
        <x:v>809</x:v>
      </x:c>
      <x:c r="M156" s="104" t="s">
        <x:v>793</x:v>
      </x:c>
      <x:c r="N156" s="104" t="s">
        <x:v>810</x:v>
      </x:c>
      <x:c r="O156" s="104" t="s">
        <x:v>270</x:v>
      </x:c>
    </x:row>
    <x:row r="157" ht="56.79999923706055" customHeight="1">
      <x:c r="A157" s="108">
        <x:v>156</x:v>
      </x:c>
      <x:c r="B157" s="109" t="s">
        <x:v>104</x:v>
      </x:c>
      <x:c r="C157" s="108" t="s">
        <x:v>811</x:v>
      </x:c>
      <x:c r="D157" s="109" t="s">
        <x:v>812</x:v>
      </x:c>
      <x:c r="E157" s="110" t="s">
        <x:v>77</x:v>
      </x:c>
      <x:c r="F157" s="95" t="s">
        <x:v>267</x:v>
      </x:c>
      <x:c r="G157" s="111" t="s">
        <x:v>83</x:v>
      </x:c>
      <x:c r="H157" s="109" t="s">
        <x:v>231</x:v>
      </x:c>
      <x:c r="I157" s="109" t="s">
        <x:v>104</x:v>
      </x:c>
      <x:c r="J157" s="108" t="s">
        <x:v>105</x:v>
      </x:c>
      <x:c r="K157" s="109" t="s">
        <x:v>791</x:v>
      </x:c>
      <x:c r="L157" s="108" t="s">
        <x:v>813</x:v>
      </x:c>
      <x:c r="M157" s="108" t="s">
        <x:v>793</x:v>
      </x:c>
      <x:c r="N157" s="108" t="s">
        <x:v>814</x:v>
      </x:c>
      <x:c r="O157" s="108" t="s">
        <x:v>270</x:v>
      </x:c>
    </x:row>
    <x:row r="158" ht="43.650001525878906" customHeight="1">
      <x:c r="A158" s="104">
        <x:v>157</x:v>
      </x:c>
      <x:c r="B158" s="105" t="s">
        <x:v>104</x:v>
      </x:c>
      <x:c r="C158" s="104" t="s">
        <x:v>815</x:v>
      </x:c>
      <x:c r="D158" s="105" t="s">
        <x:v>816</x:v>
      </x:c>
      <x:c r="E158" s="110" t="s">
        <x:v>77</x:v>
      </x:c>
      <x:c r="F158" s="95" t="s">
        <x:v>267</x:v>
      </x:c>
      <x:c r="G158" s="111" t="s">
        <x:v>83</x:v>
      </x:c>
      <x:c r="H158" s="105" t="s">
        <x:v>231</x:v>
      </x:c>
      <x:c r="I158" s="105" t="s">
        <x:v>104</x:v>
      </x:c>
      <x:c r="J158" s="104" t="s">
        <x:v>115</x:v>
      </x:c>
      <x:c r="K158" s="105" t="s">
        <x:v>791</x:v>
      </x:c>
      <x:c r="L158" s="104" t="s">
        <x:v>817</x:v>
      </x:c>
      <x:c r="M158" s="104" t="s">
        <x:v>818</x:v>
      </x:c>
      <x:c r="N158" s="104" t="s">
        <x:v>819</x:v>
      </x:c>
      <x:c r="O158" s="104" t="s">
        <x:v>270</x:v>
      </x:c>
    </x:row>
    <x:row r="159" ht="156.5" customHeight="1">
      <x:c r="A159" s="108">
        <x:v>158</x:v>
      </x:c>
      <x:c r="B159" s="109" t="s">
        <x:v>104</x:v>
      </x:c>
      <x:c r="C159" s="108" t="s">
        <x:v>820</x:v>
      </x:c>
      <x:c r="D159" s="109" t="str">
        <x:v>AI 업무 질의응답 및 맥락형 가이드 안내</x:v>
      </x:c>
      <x:c r="E159" s="110" t="s">
        <x:v>77</x:v>
      </x:c>
      <x:c r="F159" s="139" t="str">
        <x:v>진행</x:v>
      </x:c>
      <x:c r="G159" s="107" t="s">
        <x:v>74</x:v>
      </x:c>
      <x:c r="H159" s="109" t="s">
        <x:v>237</x:v>
      </x:c>
      <x:c r="I159" s="109" t="s">
        <x:v>104</x:v>
      </x:c>
      <x:c r="J159" s="108" t="s">
        <x:v>105</x:v>
      </x:c>
      <x:c r="K159" s="109" t="s">
        <x:v>791</x:v>
      </x:c>
      <x:c r="L159" s="108" t="str">
        <x:v>FGC-FUN-002,FGC-FUN-035,FGC-FUN-053,FGC-FUN-087,FGC-FUN-088,FGC-COR-007,FGC-SER-013</x:v>
      </x:c>
      <x:c r="M159" s="108" t="s">
        <x:v>818</x:v>
      </x:c>
      <x:c r="N159" s="108" t="str">
        <x:v>2026-10-27 현준 회의 결정·AI 업무 가이드 설계 참고. 고정 안내는087·088, 실제 AI 질의응답은073.</x:v>
      </x:c>
      <x:c r="O159" s="108" t="str">
        <x:v>v3.0 (2026-10-27, 현준 최종 회의 반영): 미진행→진행. 기존073을 내부 전용 AI 업무 질의응답·등록 가이드 연결로 재정의. 신규 FUN 번호 없음.</x:v>
      </x:c>
    </x:row>
    <x:row r="160" ht="43.650001525878906" customHeight="1">
      <x:c r="A160" s="104">
        <x:v>159</x:v>
      </x:c>
      <x:c r="B160" s="105" t="s">
        <x:v>104</x:v>
      </x:c>
      <x:c r="C160" s="104" t="s">
        <x:v>821</x:v>
      </x:c>
      <x:c r="D160" s="105" t="s">
        <x:v>822</x:v>
      </x:c>
      <x:c r="E160" s="110" t="s">
        <x:v>77</x:v>
      </x:c>
      <x:c r="F160" s="95" t="s">
        <x:v>267</x:v>
      </x:c>
      <x:c r="G160" s="111" t="s">
        <x:v>83</x:v>
      </x:c>
      <x:c r="H160" s="105" t="s">
        <x:v>237</x:v>
      </x:c>
      <x:c r="I160" s="105" t="s">
        <x:v>104</x:v>
      </x:c>
      <x:c r="J160" s="104" t="s">
        <x:v>115</x:v>
      </x:c>
      <x:c r="K160" s="105" t="s">
        <x:v>791</x:v>
      </x:c>
      <x:c r="L160" s="104" t="s">
        <x:v>823</x:v>
      </x:c>
      <x:c r="M160" s="104" t="s">
        <x:v>818</x:v>
      </x:c>
      <x:c r="N160" s="104" t="s">
        <x:v>824</x:v>
      </x:c>
      <x:c r="O160" s="104" t="s">
        <x:v>270</x:v>
      </x:c>
    </x:row>
    <x:row r="161" ht="123.5" customHeight="1">
      <x:c r="A161" s="108">
        <x:v>160</x:v>
      </x:c>
      <x:c r="B161" s="109" t="s">
        <x:v>104</x:v>
      </x:c>
      <x:c r="C161" s="108" t="s">
        <x:v>825</x:v>
      </x:c>
      <x:c r="D161" s="109" t="s">
        <x:v>826</x:v>
      </x:c>
      <x:c r="E161" s="110" t="s">
        <x:v>77</x:v>
      </x:c>
      <x:c r="F161" s="137" t="str">
        <x:v>미진행</x:v>
      </x:c>
      <x:c r="G161" s="107" t="s">
        <x:v>74</x:v>
      </x:c>
      <x:c r="H161" s="109" t="s">
        <x:v>237</x:v>
      </x:c>
      <x:c r="I161" s="109" t="s">
        <x:v>104</x:v>
      </x:c>
      <x:c r="J161" s="108" t="s">
        <x:v>105</x:v>
      </x:c>
      <x:c r="K161" s="109" t="s">
        <x:v>232</x:v>
      </x:c>
      <x:c r="L161" s="108" t="str">
        <x:v>FGC-FUN-048,FGC-FUN-049,FGC-FUN-052,FGC-FUN-053,FGC-DAR-012,FGC-FUN-076</x:v>
      </x:c>
      <x:c r="M161" s="108" t="s">
        <x:v>433</x:v>
      </x:c>
      <x:c r="N161" s="108" t="s">
        <x:v>827</x:v>
      </x:c>
      <x:c r="O161" s="108" t="str">
        <x:v>v3.0 (2026-10-27, 현준 최종 회의 반영): 논의후 진행→미진행. 탐정 패턴 탐지·관계지도는 이번 구현/인수에서 제외. ID·원안은 이력으로 보존.</x:v>
      </x:c>
    </x:row>
    <x:row r="162" ht="90.5" customHeight="1">
      <x:c r="A162" s="104">
        <x:v>161</x:v>
      </x:c>
      <x:c r="B162" s="105" t="s">
        <x:v>104</x:v>
      </x:c>
      <x:c r="C162" s="104" t="s">
        <x:v>828</x:v>
      </x:c>
      <x:c r="D162" s="105" t="str">
        <x:v>정산탐정 관계지도 수수료 영수증 조회</x:v>
      </x:c>
      <x:c r="E162" s="110" t="s">
        <x:v>77</x:v>
      </x:c>
      <x:c r="F162" s="137" t="str">
        <x:v>미진행</x:v>
      </x:c>
      <x:c r="G162" s="111" t="str">
        <x:v>S</x:v>
      </x:c>
      <x:c r="H162" s="105" t="str">
        <x:v>중</x:v>
      </x:c>
      <x:c r="I162" s="105" t="s">
        <x:v>104</x:v>
      </x:c>
      <x:c r="J162" s="104" t="s">
        <x:v>105</x:v>
      </x:c>
      <x:c r="K162" s="105" t="str">
        <x:v>보류</x:v>
      </x:c>
      <x:c r="L162" s="104" t="str">
        <x:v>FGC-FUN-075,FGC-FUN-048,FGC-FUN-049,FGC-FUN-046,FGC-FUN-016</x:v>
      </x:c>
      <x:c r="M162" s="104" t="s">
        <x:v>818</x:v>
      </x:c>
      <x:c r="N162" s="104" t="str">
        <x:v>REG-22,SRC-032,SRC-027</x:v>
      </x:c>
      <x:c r="O162" s="104" t="str">
        <x:v>v3.0 (2026-10-27, 현준 최종 회의 반영): 논의후 진행→미진행. 탐정 제외에 따라 관계지도 수수료 영수증도 제외. 기존 원천 상세 조회는 유지.</x:v>
      </x:c>
    </x:row>
    <x:row r="163" ht="43.650001525878906" customHeight="1">
      <x:c r="A163" s="108">
        <x:v>162</x:v>
      </x:c>
      <x:c r="B163" s="109" t="s">
        <x:v>104</x:v>
      </x:c>
      <x:c r="C163" s="108" t="s">
        <x:v>829</x:v>
      </x:c>
      <x:c r="D163" s="109" t="s">
        <x:v>830</x:v>
      </x:c>
      <x:c r="E163" s="110" t="s">
        <x:v>77</x:v>
      </x:c>
      <x:c r="F163" s="93" t="s">
        <x:v>241</x:v>
      </x:c>
      <x:c r="G163" s="111" t="s">
        <x:v>83</x:v>
      </x:c>
      <x:c r="H163" s="109" t="s">
        <x:v>231</x:v>
      </x:c>
      <x:c r="I163" s="109" t="s">
        <x:v>104</x:v>
      </x:c>
      <x:c r="J163" s="108" t="s">
        <x:v>268</x:v>
      </x:c>
      <x:c r="K163" s="109" t="s">
        <x:v>232</x:v>
      </x:c>
      <x:c r="L163" s="108" t="s">
        <x:v>831</x:v>
      </x:c>
      <x:c r="M163" s="108" t="s">
        <x:v>306</x:v>
      </x:c>
      <x:c r="N163" s="108" t="s">
        <x:v>832</x:v>
      </x:c>
      <x:c r="O163" s="108" t="s">
        <x:v>833</x:v>
      </x:c>
    </x:row>
    <x:row r="164" ht="56.79999923706055" customHeight="1">
      <x:c r="A164" s="104">
        <x:v>163</x:v>
      </x:c>
      <x:c r="B164" s="105" t="s">
        <x:v>104</x:v>
      </x:c>
      <x:c r="C164" s="104" t="s">
        <x:v>834</x:v>
      </x:c>
      <x:c r="D164" s="105" t="s">
        <x:v>835</x:v>
      </x:c>
      <x:c r="E164" s="110" t="s">
        <x:v>77</x:v>
      </x:c>
      <x:c r="F164" s="95" t="s">
        <x:v>267</x:v>
      </x:c>
      <x:c r="G164" s="107" t="s">
        <x:v>74</x:v>
      </x:c>
      <x:c r="H164" s="105" t="s">
        <x:v>237</x:v>
      </x:c>
      <x:c r="I164" s="105" t="s">
        <x:v>104</x:v>
      </x:c>
      <x:c r="J164" s="104" t="s">
        <x:v>268</x:v>
      </x:c>
      <x:c r="K164" s="105" t="s">
        <x:v>791</x:v>
      </x:c>
      <x:c r="L164" s="104" t="s">
        <x:v>836</x:v>
      </x:c>
      <x:c r="M164" s="104" t="s">
        <x:v>478</x:v>
      </x:c>
      <x:c r="N164" s="104" t="s">
        <x:v>837</x:v>
      </x:c>
      <x:c r="O164" s="104" t="s">
        <x:v>270</x:v>
      </x:c>
    </x:row>
    <x:row r="165" ht="123.5" customHeight="1">
      <x:c r="A165" s="108">
        <x:v>164</x:v>
      </x:c>
      <x:c r="B165" s="109" t="s">
        <x:v>104</x:v>
      </x:c>
      <x:c r="C165" s="108" t="s">
        <x:v>838</x:v>
      </x:c>
      <x:c r="D165" s="109" t="str">
        <x:v>설계사 상황별 상품 적합도 조회·AI 근거 설명</x:v>
      </x:c>
      <x:c r="E165" s="110" t="s">
        <x:v>77</x:v>
      </x:c>
      <x:c r="F165" s="139" t="str">
        <x:v>진행</x:v>
      </x:c>
      <x:c r="G165" s="107" t="str">
        <x:v>M</x:v>
      </x:c>
      <x:c r="H165" s="109" t="str">
        <x:v>상</x:v>
      </x:c>
      <x:c r="I165" s="109" t="s">
        <x:v>104</x:v>
      </x:c>
      <x:c r="J165" s="108" t="s">
        <x:v>105</x:v>
      </x:c>
      <x:c r="K165" s="109" t="str">
        <x:v>승인</x:v>
      </x:c>
      <x:c r="L165" s="108" t="str">
        <x:v>FGC-FUN-002,FGC-FUN-007,FGC-FUN-011,FGC-FUN-030,FGC-FUN-055,FGC-FUN-085,FGC-COR-007,FGC-DAR-008</x:v>
      </x:c>
      <x:c r="M165" s="108" t="s">
        <x:v>478</x:v>
      </x:c>
      <x:c r="N165" s="108" t="str">
        <x:v>2026-10-27 현준 회의 결정, 기존 FGC 상품·정책·본인 DB, COR-007, DAR-008</x:v>
      </x:c>
      <x:c r="O165" s="108" t="str">
        <x:v>v3.0 (2026-10-27, 현준 최종 회의 반영): 논의후 진행→진행. 설계사 홈 모달로 통합. 필요한 기존 DB 데이터/계산 로직은079 범위, 계산식·가중치는 미확정.078 제외 유지.</x:v>
      </x:c>
    </x:row>
    <x:row r="166" ht="43.650001525878906" customHeight="1">
      <x:c r="A166" s="104">
        <x:v>165</x:v>
      </x:c>
      <x:c r="B166" s="105" t="s">
        <x:v>104</x:v>
      </x:c>
      <x:c r="C166" s="104" t="s">
        <x:v>839</x:v>
      </x:c>
      <x:c r="D166" s="105" t="s">
        <x:v>840</x:v>
      </x:c>
      <x:c r="E166" s="110" t="s">
        <x:v>77</x:v>
      </x:c>
      <x:c r="F166" s="89" t="s">
        <x:v>230</x:v>
      </x:c>
      <x:c r="G166" s="107" t="s">
        <x:v>74</x:v>
      </x:c>
      <x:c r="H166" s="105" t="s">
        <x:v>231</x:v>
      </x:c>
      <x:c r="I166" s="105" t="s">
        <x:v>104</x:v>
      </x:c>
      <x:c r="J166" s="104" t="s">
        <x:v>456</x:v>
      </x:c>
      <x:c r="K166" s="105" t="s">
        <x:v>232</x:v>
      </x:c>
      <x:c r="L166" s="104" t="s">
        <x:v>841</x:v>
      </x:c>
      <x:c r="M166" s="104" t="s">
        <x:v>507</x:v>
      </x:c>
      <x:c r="N166" s="104" t="s">
        <x:v>842</x:v>
      </x:c>
      <x:c r="O166" s="104" t="s">
        <x:v>843</x:v>
      </x:c>
    </x:row>
    <x:row r="167" ht="30" customHeight="1">
      <x:c r="A167" s="108">
        <x:v>166</x:v>
      </x:c>
      <x:c r="B167" s="109" t="s">
        <x:v>104</x:v>
      </x:c>
      <x:c r="C167" s="108" t="s">
        <x:v>844</x:v>
      </x:c>
      <x:c r="D167" s="109" t="s">
        <x:v>845</x:v>
      </x:c>
      <x:c r="E167" s="110" t="s">
        <x:v>77</x:v>
      </x:c>
      <x:c r="F167" s="95" t="s">
        <x:v>267</x:v>
      </x:c>
      <x:c r="G167" s="111" t="s">
        <x:v>83</x:v>
      </x:c>
      <x:c r="H167" s="109" t="s">
        <x:v>231</x:v>
      </x:c>
      <x:c r="I167" s="109" t="s">
        <x:v>104</x:v>
      </x:c>
      <x:c r="J167" s="108" t="s">
        <x:v>105</x:v>
      </x:c>
      <x:c r="K167" s="109" t="s">
        <x:v>791</x:v>
      </x:c>
      <x:c r="L167" s="108" t="s">
        <x:v>846</x:v>
      </x:c>
      <x:c r="M167" s="108" t="s">
        <x:v>507</x:v>
      </x:c>
      <x:c r="N167" s="108" t="s">
        <x:v>847</x:v>
      </x:c>
      <x:c r="O167" s="108" t="s">
        <x:v>270</x:v>
      </x:c>
    </x:row>
    <x:row r="168" ht="30.450000762939453" customHeight="1">
      <x:c r="A168" s="104">
        <x:v>167</x:v>
      </x:c>
      <x:c r="B168" s="105" t="s">
        <x:v>104</x:v>
      </x:c>
      <x:c r="C168" s="104" t="s">
        <x:v>848</x:v>
      </x:c>
      <x:c r="D168" s="105" t="s">
        <x:v>849</x:v>
      </x:c>
      <x:c r="E168" s="110" t="s">
        <x:v>77</x:v>
      </x:c>
      <x:c r="F168" s="95" t="s">
        <x:v>267</x:v>
      </x:c>
      <x:c r="G168" s="111" t="s">
        <x:v>83</x:v>
      </x:c>
      <x:c r="H168" s="105" t="s">
        <x:v>250</x:v>
      </x:c>
      <x:c r="I168" s="105" t="s">
        <x:v>104</x:v>
      </x:c>
      <x:c r="J168" s="104" t="s">
        <x:v>105</x:v>
      </x:c>
      <x:c r="K168" s="105" t="s">
        <x:v>791</x:v>
      </x:c>
      <x:c r="L168" s="104" t="s">
        <x:v>850</x:v>
      </x:c>
      <x:c r="M168" s="104" t="s">
        <x:v>851</x:v>
      </x:c>
      <x:c r="N168" s="104" t="s">
        <x:v>852</x:v>
      </x:c>
      <x:c r="O168" s="104" t="s">
        <x:v>270</x:v>
      </x:c>
    </x:row>
    <x:row r="169" ht="70" customHeight="1">
      <x:c r="A169" s="108">
        <x:v>168</x:v>
      </x:c>
      <x:c r="B169" s="109" t="s">
        <x:v>104</x:v>
      </x:c>
      <x:c r="C169" s="108" t="s">
        <x:v>853</x:v>
      </x:c>
      <x:c r="D169" s="109" t="s">
        <x:v>854</x:v>
      </x:c>
      <x:c r="E169" s="110" t="s">
        <x:v>77</x:v>
      </x:c>
      <x:c r="F169" s="95" t="s">
        <x:v>267</x:v>
      </x:c>
      <x:c r="G169" s="111" t="s">
        <x:v>83</x:v>
      </x:c>
      <x:c r="H169" s="109" t="s">
        <x:v>237</x:v>
      </x:c>
      <x:c r="I169" s="109" t="s">
        <x:v>104</x:v>
      </x:c>
      <x:c r="J169" s="108" t="s">
        <x:v>105</x:v>
      </x:c>
      <x:c r="K169" s="109" t="s">
        <x:v>791</x:v>
      </x:c>
      <x:c r="L169" s="108" t="s">
        <x:v>855</x:v>
      </x:c>
      <x:c r="M169" s="108" t="s">
        <x:v>851</x:v>
      </x:c>
      <x:c r="N169" s="108" t="s">
        <x:v>856</x:v>
      </x:c>
      <x:c r="O169" s="108" t="s">
        <x:v>270</x:v>
      </x:c>
    </x:row>
    <x:row r="170" ht="206" customHeight="1">
      <x:c r="A170" s="104">
        <x:v>169</x:v>
      </x:c>
      <x:c r="B170" s="105" t="s">
        <x:v>104</x:v>
      </x:c>
      <x:c r="C170" s="104" t="s">
        <x:v>857</x:v>
      </x:c>
      <x:c r="D170" s="105" t="s">
        <x:v>858</x:v>
      </x:c>
      <x:c r="E170" s="110" t="s">
        <x:v>77</x:v>
      </x:c>
      <x:c r="F170" s="139" t="str">
        <x:v>진행</x:v>
      </x:c>
      <x:c r="G170" s="111" t="s">
        <x:v>83</x:v>
      </x:c>
      <x:c r="H170" s="105" t="s">
        <x:v>231</x:v>
      </x:c>
      <x:c r="I170" s="105" t="s">
        <x:v>104</x:v>
      </x:c>
      <x:c r="J170" s="104" t="s">
        <x:v>105</x:v>
      </x:c>
      <x:c r="K170" s="105" t="s">
        <x:v>232</x:v>
      </x:c>
      <x:c r="L170" s="104" t="str">
        <x:v>FGC-FUN-054,FGC-FUN-055,FGC-FUN-002</x:v>
      </x:c>
      <x:c r="M170" s="104" t="s">
        <x:v>443</x:v>
      </x:c>
      <x:c r="N170" s="104" t="s">
        <x:v>859</x:v>
      </x:c>
      <x:c r="O170" s="104" t="str">
        <x:v>v3.0 (2026-10-27, 현준 최종 회의 반영): 논의후 진행→진행. 환수 화면의 내부 관리자 PDF 기능으로 분리. AGENT 제공·085 선행 의존 제거.</x:v>
      </x:c>
    </x:row>
    <x:row r="171" ht="90.5" customHeight="1">
      <x:c r="A171" s="108">
        <x:v>170</x:v>
      </x:c>
      <x:c r="B171" s="109" t="s">
        <x:v>104</x:v>
      </x:c>
      <x:c r="C171" s="108" t="s">
        <x:v>860</x:v>
      </x:c>
      <x:c r="D171" s="109" t="s">
        <x:v>861</x:v>
      </x:c>
      <x:c r="E171" s="110" t="s">
        <x:v>77</x:v>
      </x:c>
      <x:c r="F171" s="139" t="str">
        <x:v>진행</x:v>
      </x:c>
      <x:c r="G171" s="107" t="s">
        <x:v>74</x:v>
      </x:c>
      <x:c r="H171" s="109" t="s">
        <x:v>237</x:v>
      </x:c>
      <x:c r="I171" s="109" t="s">
        <x:v>104</x:v>
      </x:c>
      <x:c r="J171" s="108" t="s">
        <x:v>470</x:v>
      </x:c>
      <x:c r="K171" s="109" t="s">
        <x:v>232</x:v>
      </x:c>
      <x:c r="L171" s="108" t="str">
        <x:v>FGC-FUN-002,FGC-FUN-060,FGC-FUN-079,FGC-FUN-086,FGC-SER-002</x:v>
      </x:c>
      <x:c r="M171" s="108" t="s">
        <x:v>233</x:v>
      </x:c>
      <x:c r="N171" s="108" t="s">
        <x:v>862</x:v>
      </x:c>
      <x:c r="O171" s="108" t="str">
        <x:v>v3.0 (2026-10-27, 현준 최종 회의 반영): 논의후 진행→진행. 본인 홈·명세·상품 AI 경계 적용.073 내부 AI와084 환수 PDF는 AGENT 제외.</x:v>
      </x:c>
    </x:row>
    <x:row r="172" ht="107" customHeight="1">
      <x:c r="A172" s="104">
        <x:v>171</x:v>
      </x:c>
      <x:c r="B172" s="105" t="s">
        <x:v>104</x:v>
      </x:c>
      <x:c r="C172" s="104" t="s">
        <x:v>863</x:v>
      </x:c>
      <x:c r="D172" s="105" t="str">
        <x:v>설계사 홈: 포트폴리오·오늘의 계약 관리</x:v>
      </x:c>
      <x:c r="E172" s="110" t="s">
        <x:v>77</x:v>
      </x:c>
      <x:c r="F172" s="139" t="str">
        <x:v>진행</x:v>
      </x:c>
      <x:c r="G172" s="111" t="s">
        <x:v>83</x:v>
      </x:c>
      <x:c r="H172" s="105" t="s">
        <x:v>231</x:v>
      </x:c>
      <x:c r="I172" s="105" t="s">
        <x:v>104</x:v>
      </x:c>
      <x:c r="J172" s="104" t="s">
        <x:v>456</x:v>
      </x:c>
      <x:c r="K172" s="105" t="s">
        <x:v>232</x:v>
      </x:c>
      <x:c r="L172" s="104" t="str">
        <x:v>FGC-FUN-025,FGC-FUN-026,FGC-FUN-060,FGC-FUN-079,FGC-FUN-085</x:v>
      </x:c>
      <x:c r="M172" s="104" t="s">
        <x:v>507</x:v>
      </x:c>
      <x:c r="N172" s="104" t="s">
        <x:v>864</x:v>
      </x:c>
      <x:c r="O172" s="104" t="str">
        <x:v>v3.0 (2026-10-27, 현준 최종 회의 반영): 논의후 진행→진행. 목업의 포트폴리오/상품 AI 진입 반영. 기존 확인 결과·후속 확인일 기록 유지.</x:v>
      </x:c>
    </x:row>
    <x:row r="173" ht="7.400000095367432" hidden="1" customHeight="1">
      <x:c r="A173" s="108">
        <x:v>172</x:v>
      </x:c>
      <x:c r="B173" s="109" t="s">
        <x:v>112</x:v>
      </x:c>
      <x:c r="C173" s="108" t="s">
        <x:v>865</x:v>
      </x:c>
      <x:c r="D173" s="109" t="s">
        <x:v>866</x:v>
      </x:c>
      <x:c r="E173" s="110" t="s">
        <x:v>77</x:v>
      </x:c>
      <x:c r="F173" s="115"/>
      <x:c r="G173" s="107" t="s">
        <x:v>74</x:v>
      </x:c>
      <x:c r="H173" s="109" t="s">
        <x:v>231</x:v>
      </x:c>
      <x:c r="I173" s="109" t="s">
        <x:v>483</x:v>
      </x:c>
      <x:c r="J173" s="108" t="s">
        <x:v>456</x:v>
      </x:c>
      <x:c r="K173" s="109" t="s">
        <x:v>791</x:v>
      </x:c>
      <x:c r="L173" s="108" t="s">
        <x:v>867</x:v>
      </x:c>
      <x:c r="M173" s="108" t="s">
        <x:v>507</x:v>
      </x:c>
      <x:c r="N173" s="108" t="s">
        <x:v>868</x:v>
      </x:c>
      <x:c r="O173" s="109" t="s">
        <x:v>869</x:v>
      </x:c>
    </x:row>
    <x:row r="174" ht="7.400000095367432" hidden="1" customHeight="1">
      <x:c r="A174" s="104">
        <x:v>173</x:v>
      </x:c>
      <x:c r="B174" s="105" t="s">
        <x:v>113</x:v>
      </x:c>
      <x:c r="C174" s="104" t="s">
        <x:v>870</x:v>
      </x:c>
      <x:c r="D174" s="105" t="s">
        <x:v>871</x:v>
      </x:c>
      <x:c r="E174" s="110" t="s">
        <x:v>77</x:v>
      </x:c>
      <x:c r="F174" s="114"/>
      <x:c r="G174" s="107" t="s">
        <x:v>74</x:v>
      </x:c>
      <x:c r="H174" s="105" t="s">
        <x:v>237</x:v>
      </x:c>
      <x:c r="I174" s="105" t="s">
        <x:v>483</x:v>
      </x:c>
      <x:c r="J174" s="104" t="s">
        <x:v>115</x:v>
      </x:c>
      <x:c r="K174" s="105" t="s">
        <x:v>791</x:v>
      </x:c>
      <x:c r="L174" s="104" t="s">
        <x:v>872</x:v>
      </x:c>
      <x:c r="M174" s="104" t="s">
        <x:v>519</x:v>
      </x:c>
      <x:c r="N174" s="104" t="s">
        <x:v>873</x:v>
      </x:c>
      <x:c r="O174" s="105" t="s">
        <x:v>869</x:v>
      </x:c>
    </x:row>
    <x:row r="175" ht="7.400000095367432" hidden="1" customHeight="1">
      <x:c r="A175" s="108">
        <x:v>174</x:v>
      </x:c>
      <x:c r="B175" s="109" t="s">
        <x:v>126</x:v>
      </x:c>
      <x:c r="C175" s="108" t="s">
        <x:v>874</x:v>
      </x:c>
      <x:c r="D175" s="109" t="s">
        <x:v>875</x:v>
      </x:c>
      <x:c r="E175" s="110" t="s">
        <x:v>77</x:v>
      </x:c>
      <x:c r="F175" s="115"/>
      <x:c r="G175" s="107" t="s">
        <x:v>74</x:v>
      </x:c>
      <x:c r="H175" s="109" t="s">
        <x:v>237</x:v>
      </x:c>
      <x:c r="I175" s="109" t="s">
        <x:v>483</x:v>
      </x:c>
      <x:c r="J175" s="108" t="s">
        <x:v>470</x:v>
      </x:c>
      <x:c r="K175" s="109" t="s">
        <x:v>791</x:v>
      </x:c>
      <x:c r="L175" s="108" t="s">
        <x:v>876</x:v>
      </x:c>
      <x:c r="M175" s="108" t="s">
        <x:v>620</x:v>
      </x:c>
      <x:c r="N175" s="108" t="s">
        <x:v>877</x:v>
      </x:c>
      <x:c r="O175" s="109" t="s">
        <x:v>869</x:v>
      </x:c>
    </x:row>
    <x:row r="176" ht="7.400000095367432" hidden="1" customHeight="1">
      <x:c r="A176" s="104">
        <x:v>175</x:v>
      </x:c>
      <x:c r="B176" s="105" t="s">
        <x:v>122</x:v>
      </x:c>
      <x:c r="C176" s="104" t="s">
        <x:v>878</x:v>
      </x:c>
      <x:c r="D176" s="105" t="s">
        <x:v>879</x:v>
      </x:c>
      <x:c r="E176" s="110" t="s">
        <x:v>77</x:v>
      </x:c>
      <x:c r="F176" s="114"/>
      <x:c r="G176" s="107" t="s">
        <x:v>74</x:v>
      </x:c>
      <x:c r="H176" s="105" t="s">
        <x:v>237</x:v>
      </x:c>
      <x:c r="I176" s="105" t="s">
        <x:v>483</x:v>
      </x:c>
      <x:c r="J176" s="104" t="s">
        <x:v>135</x:v>
      </x:c>
      <x:c r="K176" s="105" t="s">
        <x:v>791</x:v>
      </x:c>
      <x:c r="L176" s="104" t="s">
        <x:v>880</x:v>
      </x:c>
      <x:c r="M176" s="104" t="s">
        <x:v>581</x:v>
      </x:c>
      <x:c r="N176" s="104" t="s">
        <x:v>881</x:v>
      </x:c>
      <x:c r="O176" s="105" t="s">
        <x:v>869</x:v>
      </x:c>
    </x:row>
    <x:row r="177" ht="7.400000095367432" hidden="1" customHeight="1">
      <x:c r="A177" s="108">
        <x:v>176</x:v>
      </x:c>
      <x:c r="B177" s="109" t="s">
        <x:v>108</x:v>
      </x:c>
      <x:c r="C177" s="108" t="s">
        <x:v>882</x:v>
      </x:c>
      <x:c r="D177" s="109" t="s">
        <x:v>883</x:v>
      </x:c>
      <x:c r="E177" s="110" t="s">
        <x:v>77</x:v>
      </x:c>
      <x:c r="F177" s="115"/>
      <x:c r="G177" s="111" t="s">
        <x:v>83</x:v>
      </x:c>
      <x:c r="H177" s="109" t="s">
        <x:v>231</x:v>
      </x:c>
      <x:c r="I177" s="109" t="s">
        <x:v>483</x:v>
      </x:c>
      <x:c r="J177" s="108" t="s">
        <x:v>135</x:v>
      </x:c>
      <x:c r="K177" s="109" t="s">
        <x:v>791</x:v>
      </x:c>
      <x:c r="L177" s="108" t="s">
        <x:v>884</x:v>
      </x:c>
      <x:c r="M177" s="108" t="s">
        <x:v>484</x:v>
      </x:c>
      <x:c r="N177" s="108" t="s">
        <x:v>885</x:v>
      </x:c>
      <x:c r="O177" s="109" t="s">
        <x:v>869</x:v>
      </x:c>
    </x:row>
    <x:row r="178" ht="156.5" customHeight="1">
      <x:c r="A178" s="104">
        <x:v>177</x:v>
      </x:c>
      <x:c r="B178" s="105" t="s">
        <x:v>104</x:v>
      </x:c>
      <x:c r="C178" s="104" t="s">
        <x:v>886</x:v>
      </x:c>
      <x:c r="D178" s="105" t="str">
        <x:v>화면별 업무 가이드 및 안내 대상 연결</x:v>
      </x:c>
      <x:c r="E178" s="110" t="s">
        <x:v>77</x:v>
      </x:c>
      <x:c r="F178" s="139" t="str">
        <x:v>진행</x:v>
      </x:c>
      <x:c r="G178" s="107" t="s">
        <x:v>74</x:v>
      </x:c>
      <x:c r="H178" s="105" t="s">
        <x:v>231</x:v>
      </x:c>
      <x:c r="I178" s="105" t="s">
        <x:v>104</x:v>
      </x:c>
      <x:c r="J178" s="104" t="s">
        <x:v>146</x:v>
      </x:c>
      <x:c r="K178" s="105" t="s">
        <x:v>232</x:v>
      </x:c>
      <x:c r="L178" s="104" t="str">
        <x:v>FGC-FUN-002,FGC-FUN-018,FGC-FUN-036,FGC-FUN-041,FGC-FUN-052,FGC-FUN-065,FGC-FUN-073</x:v>
      </x:c>
      <x:c r="M178" s="104" t="s">
        <x:v>507</x:v>
      </x:c>
      <x:c r="N178" s="104" t="str">
        <x:v>2026-10-27 현준 회의 결정·AI 업무 가이드 설계 참고. 고정 안내는087·088, 실제 AI 질의응답은073.</x:v>
      </x:c>
      <x:c r="O178" s="104" t="str">
        <x:v>v3.0 (2026-10-27, 현준 최종 회의 반영): 진행 유지. 고정 도움말·마스코트/스포트라이트 실행기를 AI/전체 흐름과 공유하고 대상 식별·완료 조건 보완.</x:v>
      </x:c>
    </x:row>
    <x:row r="179" ht="173" customHeight="1">
      <x:c r="A179" s="108">
        <x:v>178</x:v>
      </x:c>
      <x:c r="B179" s="109" t="s">
        <x:v>104</x:v>
      </x:c>
      <x:c r="C179" s="108" t="s">
        <x:v>887</x:v>
      </x:c>
      <x:c r="D179" s="109" t="str">
        <x:v>전체 업무 흐름 가이드</x:v>
      </x:c>
      <x:c r="E179" s="110" t="s">
        <x:v>77</x:v>
      </x:c>
      <x:c r="F179" s="139" t="str">
        <x:v>진행</x:v>
      </x:c>
      <x:c r="G179" s="107" t="s">
        <x:v>74</x:v>
      </x:c>
      <x:c r="H179" s="109" t="s">
        <x:v>237</x:v>
      </x:c>
      <x:c r="I179" s="109" t="s">
        <x:v>104</x:v>
      </x:c>
      <x:c r="J179" s="108" t="s">
        <x:v>456</x:v>
      </x:c>
      <x:c r="K179" s="109" t="s">
        <x:v>232</x:v>
      </x:c>
      <x:c r="L179" s="108" t="str">
        <x:v>FGC-FUN-073,FGC-FUN-087,FGC-FUN-018,FGC-FUN-036,FGC-FUN-065,FGC-FUN-031,FGC-FUN-033,FGC-FUN-041,FGC-FUN-042,FGC-FUN-043,FGC-FUN-044,FGC-FUN-048,FGC-FUN-049,FGC-FUN-052,FGC-FUN-053,FGC-FUN-057</x:v>
      </x:c>
      <x:c r="M179" s="108" t="s">
        <x:v>507</x:v>
      </x:c>
      <x:c r="N179" s="108" t="str">
        <x:v>2026-10-27 현준 회의 결정·AI 업무 가이드 설계 참고. 고정 안내는087·088, 실제 AI 질의응답은073.</x:v>
      </x:c>
      <x:c r="O179" s="108" t="str">
        <x:v>v3.0 (2026-10-27, 현준 최종 회의 반영): 진행 유지.9단계 전체 흐름·중간 시작·상태 기반 분기/복귀 보완. 별도 DB확인10단계 제외.</x:v>
      </x:c>
    </x:row>
  </x:sheetData>
  <x:conditionalFormatting sqref="E2:E182">
    <x:cfRule type="expression" dxfId="94" priority="5">
      <x:formula>E2="1차"</x:formula>
    </x:cfRule>
    <x:cfRule type="expression" dxfId="93" priority="6">
      <x:formula>E2="2차"</x:formula>
    </x:cfRule>
    <x:cfRule type="expression" dxfId="92" priority="7">
      <x:formula>E2="공통"</x:formula>
    </x:cfRule>
  </x:conditionalFormatting>
  <x:conditionalFormatting sqref="F2:F179">
    <x:cfRule type="expression" dxfId="91" priority="9">
      <x:formula>F2="진행"</x:formula>
    </x:cfRule>
    <x:cfRule type="expression" dxfId="90" priority="10">
      <x:formula>F2="미진행"</x:formula>
    </x:cfRule>
    <x:cfRule type="expression" dxfId="89" priority="11">
      <x:formula>F2="후순위"</x:formula>
    </x:cfRule>
    <x:cfRule type="expression" dxfId="88" priority="12">
      <x:formula>F2="논의후 진행"</x:formula>
    </x:cfRule>
  </x:conditionalFormatting>
  <x:conditionalFormatting sqref="G2:G182">
    <x:cfRule type="expression" dxfId="87" priority="2">
      <x:formula>G2="M"</x:formula>
    </x:cfRule>
    <x:cfRule type="expression" dxfId="86" priority="3">
      <x:formula>G2="S"</x:formula>
    </x:cfRule>
    <x:cfRule type="expression" dxfId="85" priority="4">
      <x:formula>G2="C"</x:formula>
    </x:cfRule>
  </x:conditionalFormatting>
  <x:conditionalFormatting sqref="K2:K182">
    <x:cfRule type="expression" dxfId="84" priority="8">
      <x:formula>K2="승인"</x:formula>
    </x:cfRule>
  </x:conditionalFormatting>
  <x:dataValidations count="5">
    <x:dataValidation type="list" sqref="E2:E182">
      <x:formula1>"1차,2차,공통"</x:formula1>
      <x:formula2>0</x:formula2>
    </x:dataValidation>
    <x:dataValidation type="list" sqref="G2:G182">
      <x:formula1>"M,S,C,W"</x:formula1>
      <x:formula2>0</x:formula2>
    </x:dataValidation>
    <x:dataValidation type="list" sqref="H2:H182">
      <x:formula1>"상,중,하,-"</x:formula1>
      <x:formula2>0</x:formula2>
    </x:dataValidation>
    <x:dataValidation type="list" sqref="K2:K182">
      <x:formula1>"초안,검토중,승인,구현중,구현완료,테스트완료,인수완료,보류"</x:formula1>
      <x:formula2>0</x:formula2>
    </x:dataValidation>
    <x:dataValidation type="list" sqref="F2:F179">
      <x:formula1>"진행,미진행,후순위,논의후 진행"</x:formula1>
    </x:dataValidation>
  </x:dataValidations>
  <x:pageMargins left="0.7" right="0.7" top="0.75" bottom="0.75" header="0.3" footer="0.3"/>
  <x:tableParts count="1">
    <x:tablePart xmlns:r="http://schemas.openxmlformats.org/officeDocument/2006/relationships" r:id="R00380f89a81e4f38"/>
  </x:tableParts>
</x:worksheet>
</file>

<file path=xl/worksheets/sheet4.xml><?xml version="1.0" encoding="utf-8"?>
<x:worksheet xmlns:x="http://schemas.openxmlformats.org/spreadsheetml/2006/main">
  <x:sheetViews>
    <x:sheetView workbookViewId="0">
      <x:pane xSplit="1" ySplit="1" topLeftCell="B2" activePane="bottomRight" state="frozen"/>
    </x:sheetView>
  </x:sheetViews>
  <x:sheetFormatPr defaultColWidth="8.61328125" defaultRowHeight="12.449999809265137"/>
  <x:cols>
    <x:col min="1" max="1" width="10" customWidth="1"/>
    <x:col min="2" max="2" width="14" customWidth="1"/>
    <x:col min="3" max="3" width="50" customWidth="1"/>
    <x:col min="4" max="4" width="13" customWidth="1"/>
    <x:col min="5" max="5" width="18" customWidth="1"/>
    <x:col min="6" max="6" width="9" customWidth="1"/>
    <x:col min="7" max="7" width="11" customWidth="1"/>
    <x:col min="8" max="8" width="40" customWidth="1"/>
    <x:col min="9" max="9" width="28" customWidth="1"/>
  </x:cols>
  <x:sheetData>
    <x:row r="1" ht="14.5" customHeight="1">
      <x:c r="A1" s="4" t="s">
        <x:v>888</x:v>
      </x:c>
      <x:c r="B1" s="2" t="s">
        <x:v>889</x:v>
      </x:c>
      <x:c r="C1" s="2" t="s">
        <x:v>890</x:v>
      </x:c>
      <x:c r="D1" s="2" t="s">
        <x:v>891</x:v>
      </x:c>
      <x:c r="E1" s="2" t="s">
        <x:v>892</x:v>
      </x:c>
      <x:c r="F1" s="2" t="s">
        <x:v>893</x:v>
      </x:c>
      <x:c r="G1" s="2" t="s">
        <x:v>223</x:v>
      </x:c>
      <x:c r="H1" s="2" t="s">
        <x:v>894</x:v>
      </x:c>
      <x:c r="I1" s="2" t="s">
        <x:v>895</x:v>
      </x:c>
    </x:row>
    <x:row r="2" ht="140.0500030517578" customHeight="1">
      <x:c r="A2" s="3" t="s">
        <x:v>896</x:v>
      </x:c>
      <x:c r="B2" s="1" t="s">
        <x:v>897</x:v>
      </x:c>
      <x:c r="C2" s="3" t="s">
        <x:v>898</x:v>
      </x:c>
      <x:c r="D2" s="3" t="s">
        <x:v>899</x:v>
      </x:c>
      <x:c r="E2" s="3" t="s">
        <x:v>718</x:v>
      </x:c>
      <x:c r="F2" s="1" t="s">
        <x:v>237</x:v>
      </x:c>
      <x:c r="G2" s="38" t="s">
        <x:v>900</x:v>
      </x:c>
      <x:c r="H2" s="30" t="s">
        <x:v>901</x:v>
      </x:c>
      <x:c r="I2" s="31" t="s">
        <x:v>902</x:v>
      </x:c>
    </x:row>
    <x:row r="3" ht="126" customHeight="1">
      <x:c r="A3" s="3" t="s">
        <x:v>903</x:v>
      </x:c>
      <x:c r="B3" s="1" t="s">
        <x:v>904</x:v>
      </x:c>
      <x:c r="C3" s="3" t="s">
        <x:v>905</x:v>
      </x:c>
      <x:c r="D3" s="3" t="s">
        <x:v>899</x:v>
      </x:c>
      <x:c r="E3" s="3" t="s">
        <x:v>906</x:v>
      </x:c>
      <x:c r="F3" s="1" t="s">
        <x:v>237</x:v>
      </x:c>
      <x:c r="G3" s="38" t="s">
        <x:v>900</x:v>
      </x:c>
      <x:c r="H3" s="30" t="s">
        <x:v>907</x:v>
      </x:c>
      <x:c r="I3" s="31" t="s">
        <x:v>908</x:v>
      </x:c>
    </x:row>
    <x:row r="4" ht="70" customHeight="1">
      <x:c r="A4" s="3" t="s">
        <x:v>909</x:v>
      </x:c>
      <x:c r="B4" s="1" t="s">
        <x:v>910</x:v>
      </x:c>
      <x:c r="C4" s="3" t="s">
        <x:v>911</x:v>
      </x:c>
      <x:c r="D4" s="3" t="s">
        <x:v>912</x:v>
      </x:c>
      <x:c r="E4" s="3" t="s">
        <x:v>262</x:v>
      </x:c>
      <x:c r="F4" s="1" t="s">
        <x:v>237</x:v>
      </x:c>
      <x:c r="G4" s="38" t="s">
        <x:v>900</x:v>
      </x:c>
      <x:c r="H4" s="1" t="s">
        <x:v>913</x:v>
      </x:c>
      <x:c r="I4" s="3" t="s">
        <x:v>914</x:v>
      </x:c>
    </x:row>
    <x:row r="5" ht="56.04999923706055" customHeight="1">
      <x:c r="A5" s="3" t="s">
        <x:v>915</x:v>
      </x:c>
      <x:c r="B5" s="1" t="s">
        <x:v>916</x:v>
      </x:c>
      <x:c r="C5" s="1" t="s">
        <x:v>917</x:v>
      </x:c>
      <x:c r="D5" s="3" t="s">
        <x:v>912</x:v>
      </x:c>
      <x:c r="E5" s="3" t="s">
        <x:v>918</x:v>
      </x:c>
      <x:c r="F5" s="1" t="s">
        <x:v>237</x:v>
      </x:c>
      <x:c r="G5" s="38" t="s">
        <x:v>900</x:v>
      </x:c>
      <x:c r="H5" s="1" t="s">
        <x:v>919</x:v>
      </x:c>
      <x:c r="I5" s="3" t="s">
        <x:v>920</x:v>
      </x:c>
    </x:row>
    <x:row r="6" ht="28" customHeight="1">
      <x:c r="A6" s="3" t="s">
        <x:v>921</x:v>
      </x:c>
      <x:c r="B6" s="1" t="s">
        <x:v>922</x:v>
      </x:c>
      <x:c r="C6" s="1" t="s">
        <x:v>923</x:v>
      </x:c>
      <x:c r="D6" s="3" t="s">
        <x:v>924</x:v>
      </x:c>
      <x:c r="E6" s="3" t="s">
        <x:v>702</x:v>
      </x:c>
      <x:c r="F6" s="1" t="s">
        <x:v>231</x:v>
      </x:c>
      <x:c r="G6" s="38" t="s">
        <x:v>900</x:v>
      </x:c>
      <x:c r="H6" s="1" t="s">
        <x:v>925</x:v>
      </x:c>
      <x:c r="I6" s="3" t="s">
        <x:v>926</x:v>
      </x:c>
    </x:row>
    <x:row r="7" ht="43.5" customHeight="1">
      <x:c r="A7" s="3" t="s">
        <x:v>927</x:v>
      </x:c>
      <x:c r="B7" s="1" t="s">
        <x:v>928</x:v>
      </x:c>
      <x:c r="C7" s="1" t="s">
        <x:v>929</x:v>
      </x:c>
      <x:c r="D7" s="3" t="s">
        <x:v>930</x:v>
      </x:c>
      <x:c r="E7" s="3" t="s">
        <x:v>931</x:v>
      </x:c>
      <x:c r="F7" s="1" t="s">
        <x:v>231</x:v>
      </x:c>
      <x:c r="G7" s="38" t="s">
        <x:v>900</x:v>
      </x:c>
      <x:c r="H7" s="3" t="s">
        <x:v>932</x:v>
      </x:c>
      <x:c r="I7" s="3" t="s">
        <x:v>933</x:v>
      </x:c>
    </x:row>
    <x:row r="8" ht="56.04999923706055" customHeight="1">
      <x:c r="A8" s="3" t="s">
        <x:v>934</x:v>
      </x:c>
      <x:c r="B8" s="1" t="s">
        <x:v>935</x:v>
      </x:c>
      <x:c r="C8" s="1" t="s">
        <x:v>936</x:v>
      </x:c>
      <x:c r="D8" s="3" t="s">
        <x:v>937</x:v>
      </x:c>
      <x:c r="E8" s="3" t="s">
        <x:v>262</x:v>
      </x:c>
      <x:c r="F8" s="1" t="s">
        <x:v>237</x:v>
      </x:c>
      <x:c r="G8" s="38" t="s">
        <x:v>900</x:v>
      </x:c>
      <x:c r="H8" s="1" t="s">
        <x:v>938</x:v>
      </x:c>
      <x:c r="I8" s="3" t="s">
        <x:v>939</x:v>
      </x:c>
    </x:row>
    <x:row r="9" ht="28" customHeight="1">
      <x:c r="A9" s="3" t="s">
        <x:v>940</x:v>
      </x:c>
      <x:c r="B9" s="1" t="s">
        <x:v>941</x:v>
      </x:c>
      <x:c r="C9" s="1" t="s">
        <x:v>942</x:v>
      </x:c>
      <x:c r="D9" s="3" t="s">
        <x:v>943</x:v>
      </x:c>
      <x:c r="E9" s="3" t="s">
        <x:v>109</x:v>
      </x:c>
      <x:c r="F9" s="1" t="s">
        <x:v>231</x:v>
      </x:c>
      <x:c r="G9" s="38" t="s">
        <x:v>900</x:v>
      </x:c>
      <x:c r="H9" s="1" t="s">
        <x:v>944</x:v>
      </x:c>
      <x:c r="I9" s="3" t="s">
        <x:v>485</x:v>
      </x:c>
    </x:row>
    <x:row r="10" ht="28" customHeight="1">
      <x:c r="A10" s="3" t="s">
        <x:v>945</x:v>
      </x:c>
      <x:c r="B10" s="1" t="s">
        <x:v>946</x:v>
      </x:c>
      <x:c r="C10" s="1" t="s">
        <x:v>947</x:v>
      </x:c>
      <x:c r="D10" s="3" t="s">
        <x:v>943</x:v>
      </x:c>
      <x:c r="E10" s="3" t="s">
        <x:v>540</x:v>
      </x:c>
      <x:c r="F10" s="1" t="s">
        <x:v>237</x:v>
      </x:c>
      <x:c r="G10" s="38" t="s">
        <x:v>900</x:v>
      </x:c>
      <x:c r="H10" s="1" t="s">
        <x:v>948</x:v>
      </x:c>
      <x:c r="I10" s="3" t="s">
        <x:v>949</x:v>
      </x:c>
    </x:row>
    <x:row r="11" ht="29.049999237060547" customHeight="1">
      <x:c r="A11" s="3" t="s">
        <x:v>950</x:v>
      </x:c>
      <x:c r="B11" s="1" t="s">
        <x:v>951</x:v>
      </x:c>
      <x:c r="C11" s="3" t="s">
        <x:v>952</x:v>
      </x:c>
      <x:c r="D11" s="3" t="s">
        <x:v>953</x:v>
      </x:c>
      <x:c r="E11" s="3" t="s">
        <x:v>133</x:v>
      </x:c>
      <x:c r="F11" s="1" t="s">
        <x:v>237</x:v>
      </x:c>
      <x:c r="G11" s="38" t="s">
        <x:v>900</x:v>
      </x:c>
      <x:c r="H11" s="1" t="s">
        <x:v>954</x:v>
      </x:c>
      <x:c r="I11" s="3" t="s">
        <x:v>646</x:v>
      </x:c>
    </x:row>
    <x:row r="12" ht="29.049999237060547" customHeight="1">
      <x:c r="A12" s="3" t="s">
        <x:v>955</x:v>
      </x:c>
      <x:c r="B12" s="1" t="s">
        <x:v>956</x:v>
      </x:c>
      <x:c r="C12" s="3" t="s">
        <x:v>957</x:v>
      </x:c>
      <x:c r="D12" s="3" t="s">
        <x:v>937</x:v>
      </x:c>
      <x:c r="E12" s="3" t="s">
        <x:v>119</x:v>
      </x:c>
      <x:c r="F12" s="1" t="s">
        <x:v>237</x:v>
      </x:c>
      <x:c r="G12" s="38" t="s">
        <x:v>900</x:v>
      </x:c>
      <x:c r="H12" s="1" t="s">
        <x:v>958</x:v>
      </x:c>
      <x:c r="I12" s="3" t="s">
        <x:v>959</x:v>
      </x:c>
    </x:row>
    <x:row r="13" ht="84" customHeight="1">
      <x:c r="A13" s="3" t="s">
        <x:v>960</x:v>
      </x:c>
      <x:c r="B13" s="1" t="s">
        <x:v>961</x:v>
      </x:c>
      <x:c r="C13" s="3" t="s">
        <x:v>962</x:v>
      </x:c>
      <x:c r="D13" s="3" t="s">
        <x:v>963</x:v>
      </x:c>
      <x:c r="E13" s="3" t="s">
        <x:v>964</x:v>
      </x:c>
      <x:c r="F13" s="1" t="s">
        <x:v>237</x:v>
      </x:c>
      <x:c r="G13" s="38" t="s">
        <x:v>900</x:v>
      </x:c>
      <x:c r="H13" s="1" t="s">
        <x:v>965</x:v>
      </x:c>
      <x:c r="I13" s="3" t="s">
        <x:v>966</x:v>
      </x:c>
    </x:row>
    <x:row r="14" ht="29.049999237060547" customHeight="1">
      <x:c r="A14" s="3" t="s">
        <x:v>967</x:v>
      </x:c>
      <x:c r="B14" s="1" t="s">
        <x:v>968</x:v>
      </x:c>
      <x:c r="C14" s="3" t="s">
        <x:v>969</x:v>
      </x:c>
      <x:c r="D14" s="3" t="s">
        <x:v>970</x:v>
      </x:c>
      <x:c r="E14" s="3" t="s">
        <x:v>971</x:v>
      </x:c>
      <x:c r="F14" s="1" t="s">
        <x:v>231</x:v>
      </x:c>
      <x:c r="G14" s="38" t="s">
        <x:v>900</x:v>
      </x:c>
      <x:c r="H14" s="3" t="s">
        <x:v>972</x:v>
      </x:c>
      <x:c r="I14" s="3" t="s">
        <x:v>973</x:v>
      </x:c>
    </x:row>
    <x:row r="15" ht="84" customHeight="1">
      <x:c r="A15" s="3" t="s">
        <x:v>974</x:v>
      </x:c>
      <x:c r="B15" s="1" t="s">
        <x:v>975</x:v>
      </x:c>
      <x:c r="C15" s="3" t="s">
        <x:v>976</x:v>
      </x:c>
      <x:c r="D15" s="3" t="s">
        <x:v>977</x:v>
      </x:c>
      <x:c r="E15" s="3" t="s">
        <x:v>964</x:v>
      </x:c>
      <x:c r="F15" s="1" t="s">
        <x:v>237</x:v>
      </x:c>
      <x:c r="G15" s="38" t="s">
        <x:v>900</x:v>
      </x:c>
      <x:c r="H15" s="1" t="s">
        <x:v>978</x:v>
      </x:c>
      <x:c r="I15" s="3" t="s">
        <x:v>979</x:v>
      </x:c>
    </x:row>
    <x:row r="16" ht="56.04999923706055" customHeight="1">
      <x:c r="A16" s="3" t="s">
        <x:v>980</x:v>
      </x:c>
      <x:c r="B16" s="1" t="s">
        <x:v>981</x:v>
      </x:c>
      <x:c r="C16" s="1" t="s">
        <x:v>982</x:v>
      </x:c>
      <x:c r="D16" s="3" t="s">
        <x:v>970</x:v>
      </x:c>
      <x:c r="E16" s="3" t="s">
        <x:v>964</x:v>
      </x:c>
      <x:c r="F16" s="1" t="s">
        <x:v>237</x:v>
      </x:c>
      <x:c r="G16" s="38" t="s">
        <x:v>900</x:v>
      </x:c>
      <x:c r="H16" s="1" t="s">
        <x:v>983</x:v>
      </x:c>
      <x:c r="I16" s="3" t="s">
        <x:v>984</x:v>
      </x:c>
    </x:row>
    <x:row r="17" ht="72.55000305175781" customHeight="1">
      <x:c r="A17" s="3" t="s">
        <x:v>985</x:v>
      </x:c>
      <x:c r="B17" s="1" t="s">
        <x:v>981</x:v>
      </x:c>
      <x:c r="C17" s="1" t="s">
        <x:v>986</x:v>
      </x:c>
      <x:c r="D17" s="3" t="s">
        <x:v>970</x:v>
      </x:c>
      <x:c r="E17" s="3" t="s">
        <x:v>964</x:v>
      </x:c>
      <x:c r="F17" s="1" t="s">
        <x:v>237</x:v>
      </x:c>
      <x:c r="G17" s="38" t="s">
        <x:v>900</x:v>
      </x:c>
      <x:c r="H17" s="3" t="s">
        <x:v>987</x:v>
      </x:c>
      <x:c r="I17" s="3" t="s">
        <x:v>988</x:v>
      </x:c>
    </x:row>
    <x:row r="18" ht="72.55000305175781" customHeight="1">
      <x:c r="A18" s="3" t="s">
        <x:v>989</x:v>
      </x:c>
      <x:c r="B18" s="1" t="s">
        <x:v>981</x:v>
      </x:c>
      <x:c r="C18" s="1" t="s">
        <x:v>990</x:v>
      </x:c>
      <x:c r="D18" s="3" t="s">
        <x:v>991</x:v>
      </x:c>
      <x:c r="E18" s="3" t="s">
        <x:v>964</x:v>
      </x:c>
      <x:c r="F18" s="1" t="s">
        <x:v>237</x:v>
      </x:c>
      <x:c r="G18" s="38" t="s">
        <x:v>900</x:v>
      </x:c>
      <x:c r="H18" s="3" t="s">
        <x:v>992</x:v>
      </x:c>
      <x:c r="I18" s="3" t="s">
        <x:v>993</x:v>
      </x:c>
    </x:row>
    <x:row r="19" ht="52" customHeight="1">
      <x:c r="A19" s="29" t="s">
        <x:v>994</x:v>
      </x:c>
      <x:c r="B19" s="29" t="s">
        <x:v>995</x:v>
      </x:c>
      <x:c r="C19" s="29" t="s">
        <x:v>996</x:v>
      </x:c>
      <x:c r="D19" s="29" t="s">
        <x:v>963</x:v>
      </x:c>
      <x:c r="E19" s="29" t="s">
        <x:v>906</x:v>
      </x:c>
      <x:c r="F19" s="29" t="s">
        <x:v>237</x:v>
      </x:c>
      <x:c r="G19" s="39" t="s">
        <x:v>900</x:v>
      </x:c>
      <x:c r="H19" s="29" t="s">
        <x:v>997</x:v>
      </x:c>
      <x:c r="I19" s="29" t="s">
        <x:v>998</x:v>
      </x:c>
    </x:row>
    <x:row r="20" ht="52" customHeight="1">
      <x:c r="A20" s="29" t="s">
        <x:v>999</x:v>
      </x:c>
      <x:c r="B20" s="29" t="s">
        <x:v>897</x:v>
      </x:c>
      <x:c r="C20" s="29" t="s">
        <x:v>1000</x:v>
      </x:c>
      <x:c r="D20" s="29" t="s">
        <x:v>963</x:v>
      </x:c>
      <x:c r="E20" s="29" t="s">
        <x:v>906</x:v>
      </x:c>
      <x:c r="F20" s="29" t="s">
        <x:v>237</x:v>
      </x:c>
      <x:c r="G20" s="39" t="s">
        <x:v>900</x:v>
      </x:c>
      <x:c r="H20" s="29" t="s">
        <x:v>1001</x:v>
      </x:c>
      <x:c r="I20" s="29" t="s">
        <x:v>1002</x:v>
      </x:c>
    </x:row>
    <x:row r="21" ht="114.55000305175781" customHeight="1">
      <x:c r="A21" t="s">
        <x:v>1003</x:v>
      </x:c>
      <x:c r="B21" t="s">
        <x:v>113</x:v>
      </x:c>
      <x:c r="C21" t="s">
        <x:v>1004</x:v>
      </x:c>
      <x:c r="D21" t="s">
        <x:v>991</x:v>
      </x:c>
      <x:c r="E21" t="s">
        <x:v>1005</x:v>
      </x:c>
      <x:c r="F21" t="s">
        <x:v>237</x:v>
      </x:c>
      <x:c r="G21" s="40" t="s">
        <x:v>900</x:v>
      </x:c>
      <x:c r="H21" s="29" t="s">
        <x:v>1006</x:v>
      </x:c>
      <x:c r="I21" s="29" t="s">
        <x:v>1007</x:v>
      </x:c>
    </x:row>
    <x:row r="22" ht="114.55000305175781" customHeight="1">
      <x:c r="A22" s="83" t="s">
        <x:v>1008</x:v>
      </x:c>
      <x:c r="B22" s="83" t="s">
        <x:v>981</x:v>
      </x:c>
      <x:c r="C22" s="83" t="s">
        <x:v>1009</x:v>
      </x:c>
      <x:c r="D22" s="83" t="s">
        <x:v>1010</x:v>
      </x:c>
      <x:c r="E22" s="83" t="s">
        <x:v>262</x:v>
      </x:c>
      <x:c r="F22" s="83" t="s">
        <x:v>237</x:v>
      </x:c>
      <x:c r="G22" s="40" t="s">
        <x:v>1011</x:v>
      </x:c>
      <x:c r="H22" s="84" t="s">
        <x:v>1012</x:v>
      </x:c>
      <x:c r="I22" s="84" t="s">
        <x:v>1013</x:v>
      </x:c>
    </x:row>
    <x:row r="23" ht="114.55000305175781" customHeight="1">
      <x:c r="A23" s="83" t="s">
        <x:v>1014</x:v>
      </x:c>
      <x:c r="B23" s="83" t="s">
        <x:v>981</x:v>
      </x:c>
      <x:c r="C23" s="83" t="s">
        <x:v>1015</x:v>
      </x:c>
      <x:c r="D23" s="83" t="s">
        <x:v>1016</x:v>
      </x:c>
      <x:c r="E23" s="83" t="s">
        <x:v>1017</x:v>
      </x:c>
      <x:c r="F23" s="83" t="s">
        <x:v>231</x:v>
      </x:c>
      <x:c r="G23" s="40" t="s">
        <x:v>1018</x:v>
      </x:c>
      <x:c r="H23" s="84" t="s">
        <x:v>1019</x:v>
      </x:c>
      <x:c r="I23" s="84" t="s">
        <x:v>1020</x:v>
      </x:c>
    </x:row>
    <x:row r="24" ht="114.55000305175781" customHeight="1">
      <x:c r="A24" s="83" t="s">
        <x:v>1021</x:v>
      </x:c>
      <x:c r="B24" s="83" t="s">
        <x:v>63</x:v>
      </x:c>
      <x:c r="C24" s="83" t="s">
        <x:v>1022</x:v>
      </x:c>
      <x:c r="D24" s="83" t="s">
        <x:v>1010</x:v>
      </x:c>
      <x:c r="E24" s="83" t="s">
        <x:v>1023</x:v>
      </x:c>
      <x:c r="F24" s="83" t="s">
        <x:v>237</x:v>
      </x:c>
      <x:c r="G24" s="40" t="s">
        <x:v>1011</x:v>
      </x:c>
      <x:c r="H24" s="84" t="s">
        <x:v>1024</x:v>
      </x:c>
      <x:c r="I24" s="84" t="s">
        <x:v>1025</x:v>
      </x:c>
    </x:row>
    <x:row r="25" ht="114.55000305175781" customHeight="1">
      <x:c r="A25" s="83" t="s">
        <x:v>1026</x:v>
      </x:c>
      <x:c r="B25" s="83" t="s">
        <x:v>897</x:v>
      </x:c>
      <x:c r="C25" s="83" t="s">
        <x:v>1027</x:v>
      </x:c>
      <x:c r="D25" s="83" t="s">
        <x:v>1010</x:v>
      </x:c>
      <x:c r="E25" s="83" t="s">
        <x:v>906</x:v>
      </x:c>
      <x:c r="F25" s="83" t="s">
        <x:v>237</x:v>
      </x:c>
      <x:c r="G25" s="40" t="s">
        <x:v>1018</x:v>
      </x:c>
      <x:c r="H25" s="84" t="s">
        <x:v>1028</x:v>
      </x:c>
      <x:c r="I25" s="84" t="s">
        <x:v>1029</x:v>
      </x:c>
    </x:row>
    <x:row r="26" ht="114.55000305175781" customHeight="1">
      <x:c r="A26" s="83" t="s">
        <x:v>1030</x:v>
      </x:c>
      <x:c r="B26" s="83" t="s">
        <x:v>897</x:v>
      </x:c>
      <x:c r="C26" s="83" t="s">
        <x:v>1031</x:v>
      </x:c>
      <x:c r="D26" s="83" t="s">
        <x:v>1010</x:v>
      </x:c>
      <x:c r="E26" s="83" t="s">
        <x:v>1032</x:v>
      </x:c>
      <x:c r="F26" s="83" t="s">
        <x:v>237</x:v>
      </x:c>
      <x:c r="G26" s="40" t="s">
        <x:v>1018</x:v>
      </x:c>
      <x:c r="H26" s="84" t="s">
        <x:v>1033</x:v>
      </x:c>
      <x:c r="I26" s="84" t="s">
        <x:v>1034</x:v>
      </x:c>
    </x:row>
  </x:sheetData>
  <x:conditionalFormatting sqref="F2:F26">
    <x:cfRule type="expression" dxfId="83" priority="2">
      <x:formula>F2="상"</x:formula>
    </x:cfRule>
  </x:conditionalFormatting>
  <x:conditionalFormatting sqref="G2:G26">
    <x:cfRule type="expression" dxfId="82" priority="3">
      <x:formula>G2="결정"</x:formula>
    </x:cfRule>
  </x:conditionalFormatting>
  <x:dataValidations count="2">
    <x:dataValidation type="list" sqref="F2:F26">
      <x:formula1>"상,중,하"</x:formula1>
      <x:formula2>0</x:formula2>
    </x:dataValidation>
    <x:dataValidation type="list" sqref="G2:G26">
      <x:formula1>"미결정,검토중,결정,보류"</x:formula1>
      <x:formula2>0</x:formula2>
    </x:dataValidation>
  </x:dataValidations>
  <x:pageMargins left="0.7" right="0.7" top="0.75" bottom="0.75" header="0.3" footer="0.3"/>
  <x:tableParts count="1">
    <x:tablePart xmlns:r="http://schemas.openxmlformats.org/officeDocument/2006/relationships" r:id="Ra2ed93b543cd4f7b"/>
  </x:tableParts>
</x:worksheet>
</file>

<file path=xl/worksheets/sheet5.xml><?xml version="1.0" encoding="utf-8"?>
<x:worksheet xmlns:x="http://schemas.openxmlformats.org/spreadsheetml/2006/main">
  <x:sheetFormatPr defaultColWidth="8.61328125" defaultRowHeight="12.449999809265137"/>
  <x:cols>
    <x:col min="1" max="1" width="26.07421875" customWidth="1"/>
    <x:col min="2" max="2" width="20" customWidth="1"/>
    <x:col min="3" max="3" width="52" customWidth="1"/>
    <x:col min="4" max="4" width="56" customWidth="1"/>
    <x:col min="5" max="5" width="26" customWidth="1"/>
    <x:col min="6" max="6" width="22" customWidth="1"/>
    <x:col min="7" max="7" width="30" customWidth="1"/>
  </x:cols>
  <x:sheetData>
    <x:row r="1" ht="20.5" customHeight="1">
      <x:c r="A1" s="15" t="s">
        <x:v>1035</x:v>
      </x:c>
    </x:row>
    <x:row r="2">
      <x:c r="A2" s="16" t="s">
        <x:v>1036</x:v>
      </x:c>
    </x:row>
    <x:row r="4" ht="20.5" customHeight="1">
      <x:c r="A4" s="15" t="s">
        <x:v>1037</x:v>
      </x:c>
    </x:row>
    <x:row r="5" ht="16" customHeight="1">
      <x:c r="A5" s="17" t="s">
        <x:v>1038</x:v>
      </x:c>
      <x:c r="B5" s="17" t="s">
        <x:v>1039</x:v>
      </x:c>
      <x:c r="C5" s="18" t="s">
        <x:v>1040</x:v>
      </x:c>
      <x:c r="D5" s="18" t="s">
        <x:v>1041</x:v>
      </x:c>
    </x:row>
    <x:row r="6" ht="48" customHeight="1">
      <x:c r="A6" s="19" t="s">
        <x:v>1042</x:v>
      </x:c>
      <x:c r="B6" s="20" t="s">
        <x:v>1043</x:v>
      </x:c>
      <x:c r="C6" s="21" t="s">
        <x:v>1044</x:v>
      </x:c>
      <x:c r="D6" s="21" t="s">
        <x:v>1045</x:v>
      </x:c>
    </x:row>
    <x:row r="7" ht="39" customHeight="1">
      <x:c r="A7" s="19" t="s">
        <x:v>1046</x:v>
      </x:c>
      <x:c r="B7" s="19" t="s">
        <x:v>1047</x:v>
      </x:c>
      <x:c r="C7" s="21" t="s">
        <x:v>1048</x:v>
      </x:c>
      <x:c r="D7" s="21" t="s">
        <x:v>1049</x:v>
      </x:c>
    </x:row>
    <x:row r="8" ht="39" customHeight="1">
      <x:c r="A8" s="19" t="s">
        <x:v>1050</x:v>
      </x:c>
      <x:c r="B8" s="19" t="s">
        <x:v>1051</x:v>
      </x:c>
      <x:c r="C8" s="21" t="s">
        <x:v>1052</x:v>
      </x:c>
      <x:c r="D8" s="21" t="s">
        <x:v>1053</x:v>
      </x:c>
    </x:row>
    <x:row r="9" ht="37.5" customHeight="1">
      <x:c r="A9" s="20" t="s">
        <x:v>1054</x:v>
      </x:c>
      <x:c r="B9" s="19" t="s">
        <x:v>1055</x:v>
      </x:c>
      <x:c r="C9" s="21" t="s">
        <x:v>1056</x:v>
      </x:c>
      <x:c r="D9" s="21" t="s">
        <x:v>1057</x:v>
      </x:c>
    </x:row>
    <x:row r="10" ht="39" customHeight="1">
      <x:c r="A10" s="19" t="s">
        <x:v>1058</x:v>
      </x:c>
      <x:c r="B10" s="19" t="s">
        <x:v>1059</x:v>
      </x:c>
      <x:c r="C10" s="21" t="s">
        <x:v>1060</x:v>
      </x:c>
      <x:c r="D10" s="21" t="s">
        <x:v>1061</x:v>
      </x:c>
    </x:row>
    <x:row r="11" ht="16" customHeight="1">
      <x:c r="A11" s="19" t="s">
        <x:v>1062</x:v>
      </x:c>
      <x:c r="B11" s="19" t="s">
        <x:v>1063</x:v>
      </x:c>
      <x:c r="C11" s="22" t="s">
        <x:v>1064</x:v>
      </x:c>
      <x:c r="D11" s="21" t="s">
        <x:v>1065</x:v>
      </x:c>
    </x:row>
    <x:row r="12" ht="26.049999237060547" customHeight="1">
      <x:c r="A12" s="19" t="s">
        <x:v>1066</x:v>
      </x:c>
      <x:c r="B12" s="19" t="s">
        <x:v>1067</x:v>
      </x:c>
      <x:c r="C12" s="22" t="s">
        <x:v>1068</x:v>
      </x:c>
      <x:c r="D12" s="21" t="s">
        <x:v>1069</x:v>
      </x:c>
    </x:row>
    <x:row r="13" ht="52" customHeight="1">
      <x:c r="A13" s="20" t="s">
        <x:v>1070</x:v>
      </x:c>
      <x:c r="B13" s="19" t="s">
        <x:v>1071</x:v>
      </x:c>
      <x:c r="C13" s="22" t="s">
        <x:v>1072</x:v>
      </x:c>
      <x:c r="D13" s="21" t="s">
        <x:v>1073</x:v>
      </x:c>
    </x:row>
    <x:row r="15" ht="20.5" customHeight="1">
      <x:c r="A15" s="15" t="s">
        <x:v>1074</x:v>
      </x:c>
    </x:row>
    <x:row r="16" ht="16" customHeight="1">
      <x:c r="A16" s="23" t="s">
        <x:v>142</x:v>
      </x:c>
      <x:c r="B16" s="23" t="s">
        <x:v>1075</x:v>
      </x:c>
      <x:c r="C16" s="24" t="s">
        <x:v>1076</x:v>
      </x:c>
      <x:c r="D16" s="24" t="s">
        <x:v>1077</x:v>
      </x:c>
      <x:c r="E16" s="23" t="s">
        <x:v>895</x:v>
      </x:c>
      <x:c r="F16" s="23" t="s">
        <x:v>1078</x:v>
      </x:c>
      <x:c r="G16" s="23" t="s">
        <x:v>65</x:v>
      </x:c>
    </x:row>
    <x:row r="17" ht="37.5" customHeight="1">
      <x:c r="A17" s="20" t="s">
        <x:v>1079</x:v>
      </x:c>
      <x:c r="B17" s="19" t="s">
        <x:v>1080</x:v>
      </x:c>
      <x:c r="C17" s="21" t="s">
        <x:v>1081</x:v>
      </x:c>
      <x:c r="D17" s="21" t="s">
        <x:v>1082</x:v>
      </x:c>
      <x:c r="E17" s="22" t="s">
        <x:v>1083</x:v>
      </x:c>
      <x:c r="F17" s="22" t="s">
        <x:v>1084</x:v>
      </x:c>
      <x:c r="G17" s="21" t="s">
        <x:v>1085</x:v>
      </x:c>
    </x:row>
    <x:row r="18" ht="16" customHeight="1">
      <x:c r="A18" s="20" t="s">
        <x:v>1086</x:v>
      </x:c>
      <x:c r="B18" s="19" t="s">
        <x:v>1087</x:v>
      </x:c>
      <x:c r="C18" s="21" t="s">
        <x:v>1088</x:v>
      </x:c>
      <x:c r="D18" s="21" t="s">
        <x:v>1089</x:v>
      </x:c>
      <x:c r="E18" s="22" t="s">
        <x:v>1090</x:v>
      </x:c>
      <x:c r="F18" s="22" t="s">
        <x:v>1091</x:v>
      </x:c>
      <x:c r="G18" s="21"/>
    </x:row>
    <x:row r="19" ht="25" customHeight="1">
      <x:c r="A19" s="20" t="s">
        <x:v>1092</x:v>
      </x:c>
      <x:c r="B19" s="19" t="s">
        <x:v>1093</x:v>
      </x:c>
      <x:c r="C19" s="21" t="s">
        <x:v>1094</x:v>
      </x:c>
      <x:c r="D19" s="21" t="s">
        <x:v>1095</x:v>
      </x:c>
      <x:c r="E19" s="22" t="s">
        <x:v>1096</x:v>
      </x:c>
      <x:c r="F19" s="22" t="s">
        <x:v>1097</x:v>
      </x:c>
      <x:c r="G19" s="21" t="s">
        <x:v>1098</x:v>
      </x:c>
    </x:row>
    <x:row r="20" ht="25" customHeight="1">
      <x:c r="A20" s="20" t="s">
        <x:v>1099</x:v>
      </x:c>
      <x:c r="B20" s="20" t="s">
        <x:v>1100</x:v>
      </x:c>
      <x:c r="C20" s="21" t="s">
        <x:v>1101</x:v>
      </x:c>
      <x:c r="D20" s="21" t="s">
        <x:v>1102</x:v>
      </x:c>
      <x:c r="E20" s="22" t="s">
        <x:v>1103</x:v>
      </x:c>
      <x:c r="F20" s="22" t="s">
        <x:v>1104</x:v>
      </x:c>
      <x:c r="G20" s="21" t="s">
        <x:v>1105</x:v>
      </x:c>
    </x:row>
    <x:row r="21" ht="37.5" customHeight="1">
      <x:c r="A21" s="20" t="s">
        <x:v>1106</x:v>
      </x:c>
      <x:c r="B21" s="19" t="s">
        <x:v>1107</x:v>
      </x:c>
      <x:c r="C21" s="21" t="s">
        <x:v>1108</x:v>
      </x:c>
      <x:c r="D21" s="21" t="s">
        <x:v>1109</x:v>
      </x:c>
      <x:c r="E21" s="22" t="s">
        <x:v>1110</x:v>
      </x:c>
      <x:c r="F21" s="22" t="s">
        <x:v>1111</x:v>
      </x:c>
      <x:c r="G21" s="21"/>
    </x:row>
    <x:row r="22" ht="48" customHeight="1">
      <x:c r="A22" s="20" t="s">
        <x:v>1112</x:v>
      </x:c>
      <x:c r="B22" s="19" t="s">
        <x:v>1113</x:v>
      </x:c>
      <x:c r="C22" s="21" t="s">
        <x:v>1114</x:v>
      </x:c>
      <x:c r="D22" s="22" t="s">
        <x:v>1115</x:v>
      </x:c>
      <x:c r="E22" s="22" t="s">
        <x:v>1116</x:v>
      </x:c>
      <x:c r="F22" s="22" t="s">
        <x:v>1117</x:v>
      </x:c>
      <x:c r="G22" s="21" t="s">
        <x:v>1118</x:v>
      </x:c>
    </x:row>
    <x:row r="23" ht="32.04999923706055" customHeight="1">
      <x:c r="A23" s="20" t="s">
        <x:v>1119</x:v>
      </x:c>
      <x:c r="B23" s="19" t="s">
        <x:v>1120</x:v>
      </x:c>
      <x:c r="C23" s="21" t="s">
        <x:v>1121</x:v>
      </x:c>
      <x:c r="D23" s="21" t="s">
        <x:v>1122</x:v>
      </x:c>
      <x:c r="E23" s="22" t="s">
        <x:v>1123</x:v>
      </x:c>
      <x:c r="F23" s="22" t="s">
        <x:v>1124</x:v>
      </x:c>
      <x:c r="G23" s="21" t="s">
        <x:v>1125</x:v>
      </x:c>
    </x:row>
    <x:row r="24" ht="48" customHeight="1">
      <x:c r="A24" s="20" t="s">
        <x:v>1126</x:v>
      </x:c>
      <x:c r="B24" s="19" t="s">
        <x:v>1127</x:v>
      </x:c>
      <x:c r="C24" s="21" t="s">
        <x:v>1128</x:v>
      </x:c>
      <x:c r="D24" s="22" t="s">
        <x:v>1129</x:v>
      </x:c>
      <x:c r="E24" s="22" t="s">
        <x:v>1130</x:v>
      </x:c>
      <x:c r="F24" s="22" t="s">
        <x:v>1131</x:v>
      </x:c>
      <x:c r="G24" s="21" t="s">
        <x:v>1132</x:v>
      </x:c>
    </x:row>
    <x:row r="25" ht="37.5" customHeight="1">
      <x:c r="A25" s="20" t="s">
        <x:v>1133</x:v>
      </x:c>
      <x:c r="B25" s="19" t="s">
        <x:v>1134</x:v>
      </x:c>
      <x:c r="C25" s="21" t="s">
        <x:v>1135</x:v>
      </x:c>
      <x:c r="D25" s="21" t="s">
        <x:v>1136</x:v>
      </x:c>
      <x:c r="E25" s="22" t="s">
        <x:v>1137</x:v>
      </x:c>
      <x:c r="F25" s="22" t="s">
        <x:v>1138</x:v>
      </x:c>
      <x:c r="G25" s="21" t="s">
        <x:v>1139</x:v>
      </x:c>
    </x:row>
    <x:row r="26" ht="32.04999923706055" customHeight="1">
      <x:c r="A26" s="20" t="s">
        <x:v>1140</x:v>
      </x:c>
      <x:c r="B26" s="19" t="s">
        <x:v>910</x:v>
      </x:c>
      <x:c r="C26" s="21" t="s">
        <x:v>1141</x:v>
      </x:c>
      <x:c r="D26" s="21" t="s">
        <x:v>1142</x:v>
      </x:c>
      <x:c r="E26" s="22" t="s">
        <x:v>1143</x:v>
      </x:c>
      <x:c r="F26" s="22" t="s">
        <x:v>1144</x:v>
      </x:c>
      <x:c r="G26" s="21" t="s">
        <x:v>1145</x:v>
      </x:c>
    </x:row>
    <x:row r="27" ht="16" customHeight="1">
      <x:c r="A27" s="20" t="s">
        <x:v>1146</x:v>
      </x:c>
      <x:c r="B27" s="19" t="s">
        <x:v>1147</x:v>
      </x:c>
      <x:c r="C27" s="21" t="s">
        <x:v>1148</x:v>
      </x:c>
      <x:c r="D27" s="21" t="s">
        <x:v>1149</x:v>
      </x:c>
      <x:c r="E27" s="22" t="s">
        <x:v>1150</x:v>
      </x:c>
      <x:c r="F27" s="22" t="s">
        <x:v>1151</x:v>
      </x:c>
      <x:c r="G27" s="21"/>
    </x:row>
    <x:row r="28" ht="37.5" customHeight="1">
      <x:c r="A28" s="20" t="s">
        <x:v>1152</x:v>
      </x:c>
      <x:c r="B28" s="19" t="s">
        <x:v>1153</x:v>
      </x:c>
      <x:c r="C28" s="21" t="s">
        <x:v>1154</x:v>
      </x:c>
      <x:c r="D28" s="21" t="s">
        <x:v>1155</x:v>
      </x:c>
      <x:c r="E28" s="22" t="s">
        <x:v>1156</x:v>
      </x:c>
      <x:c r="F28" s="22" t="s">
        <x:v>1157</x:v>
      </x:c>
      <x:c r="G28" s="21"/>
    </x:row>
    <x:row r="30" ht="26.049999237060547" customHeight="1">
      <x:c r="A30" s="17" t="s">
        <x:v>1158</x:v>
      </x:c>
      <x:c r="B30" s="18" t="s">
        <x:v>1159</x:v>
      </x:c>
      <x:c r="C30" s="18" t="s">
        <x:v>1160</x:v>
      </x:c>
      <x:c r="D30" s="18" t="s">
        <x:v>1161</x:v>
      </x:c>
      <x:c r="E30" s="18" t="s">
        <x:v>1162</x:v>
      </x:c>
      <x:c r="F30" s="18" t="s">
        <x:v>1163</x:v>
      </x:c>
      <x:c r="G30" s="18" t="s">
        <x:v>1164</x:v>
      </x:c>
    </x:row>
    <x:row r="31" ht="32.04999923706055" customHeight="1">
      <x:c r="A31" s="20" t="s">
        <x:v>1165</x:v>
      </x:c>
      <x:c r="B31" s="20" t="s">
        <x:v>1166</x:v>
      </x:c>
      <x:c r="C31" s="22" t="s">
        <x:v>1167</x:v>
      </x:c>
      <x:c r="D31" s="22" t="s">
        <x:v>1168</x:v>
      </x:c>
      <x:c r="E31" s="22" t="s">
        <x:v>1169</x:v>
      </x:c>
      <x:c r="F31" s="22" t="s">
        <x:v>1170</x:v>
      </x:c>
      <x:c r="G31" s="21" t="s">
        <x:v>1171</x:v>
      </x:c>
    </x:row>
    <x:row r="32">
      <x:c r="A32" t="s">
        <x:v>1172</x:v>
      </x:c>
      <x:c r="B32" t="s">
        <x:v>1173</x:v>
      </x:c>
      <x:c r="C32" t="s">
        <x:v>1174</x:v>
      </x:c>
      <x:c r="D32" t="s">
        <x:v>1175</x:v>
      </x:c>
      <x:c r="E32" t="s">
        <x:v>1176</x:v>
      </x:c>
      <x:c r="F32" t="s">
        <x:v>1177</x:v>
      </x:c>
      <x:c r="G32" t="s">
        <x:v>1178</x:v>
      </x:c>
    </x:row>
    <x:row r="33" ht="126.55000305175781" customHeight="1">
      <x:c r="A33" s="25" t="s">
        <x:v>1179</x:v>
      </x:c>
    </x:row>
  </x:sheetData>
  <x:pageMargins left="0.7" right="0.7" top="0.75" bottom="0.75" header="0.3" footer="0.3"/>
</x:worksheet>
</file>

<file path=xl/worksheets/sheet6.xml><?xml version="1.0" encoding="utf-8"?>
<x:worksheet xmlns:x="http://schemas.openxmlformats.org/spreadsheetml/2006/main">
  <x:sheetViews>
    <x:sheetView workbookViewId="0">
      <x:pane xSplit="2" ySplit="1" topLeftCell="C2" activePane="bottomRight" state="frozen"/>
    </x:sheetView>
  </x:sheetViews>
  <x:sheetFormatPr defaultColWidth="8.69140625" defaultRowHeight="12.449999809265137"/>
  <x:cols>
    <x:col min="1" max="1" width="18" style="77" customWidth="1"/>
    <x:col min="2" max="2" width="30" style="77" customWidth="1"/>
    <x:col min="3" max="3" width="72.53515625" style="77" customWidth="1"/>
    <x:col min="4" max="4" width="9" style="77" customWidth="1"/>
    <x:col min="5" max="5" width="8.3828125" customWidth="1"/>
    <x:col min="6" max="7" width="9" style="77" customWidth="1"/>
    <x:col min="8" max="8" width="50" style="77" customWidth="1"/>
    <x:col min="9" max="9" width="24" style="77" customWidth="1"/>
    <x:col min="10" max="10" width="31" style="77" customWidth="1"/>
    <x:col min="11" max="11" width="25" style="77" customWidth="1"/>
    <x:col min="12" max="12" width="50" style="77" customWidth="1"/>
    <x:col min="13" max="13" width="30" style="77" customWidth="1"/>
    <x:col min="14" max="14" width="44" style="77" customWidth="1"/>
    <x:col min="15" max="15" width="30" style="77" hidden="1" customWidth="1"/>
    <x:col min="16" max="16" width="8.69140625" style="77" customWidth="1"/>
    <x:col min="17" max="16384" width="8.69140625" style="77" customWidth="0"/>
  </x:cols>
  <x:sheetData>
    <x:row r="1" ht="26.049999237060547" customHeight="1">
      <x:c r="A1" s="85" t="s">
        <x:v>215</x:v>
      </x:c>
      <x:c r="B1" s="85" t="s">
        <x:v>216</x:v>
      </x:c>
      <x:c r="C1" s="85" t="s">
        <x:v>1180</x:v>
      </x:c>
      <x:c r="D1" s="85" t="s">
        <x:v>217</x:v>
      </x:c>
      <x:c r="E1" s="86" t="s">
        <x:v>218</x:v>
      </x:c>
      <x:c r="F1" s="85" t="s">
        <x:v>219</x:v>
      </x:c>
      <x:c r="G1" s="85" t="s">
        <x:v>220</x:v>
      </x:c>
      <x:c r="H1" s="85" t="s">
        <x:v>1181</x:v>
      </x:c>
      <x:c r="I1" s="85" t="s">
        <x:v>224</x:v>
      </x:c>
      <x:c r="J1" s="85" t="s">
        <x:v>1182</x:v>
      </x:c>
      <x:c r="K1" s="85" t="s">
        <x:v>1183</x:v>
      </x:c>
      <x:c r="L1" s="85" t="s">
        <x:v>1184</x:v>
      </x:c>
      <x:c r="M1" s="85" t="s">
        <x:v>1185</x:v>
      </x:c>
      <x:c r="N1" s="85" t="s">
        <x:v>1186</x:v>
      </x:c>
      <x:c r="O1" s="85" t="s">
        <x:v>227</x:v>
      </x:c>
    </x:row>
    <x:row r="2" ht="37.5" hidden="1" customHeight="1">
      <x:c r="A2" s="87" t="s">
        <x:v>228</x:v>
      </x:c>
      <x:c r="B2" s="87" t="s">
        <x:v>229</x:v>
      </x:c>
      <x:c r="C2" s="87" t="s">
        <x:v>1187</x:v>
      </x:c>
      <x:c r="D2" s="88" t="s">
        <x:v>69</x:v>
      </x:c>
      <x:c r="E2" s="89" t="s">
        <x:v>230</x:v>
      </x:c>
      <x:c r="F2" s="90" t="s">
        <x:v>74</x:v>
      </x:c>
      <x:c r="G2" s="87" t="s">
        <x:v>231</x:v>
      </x:c>
      <x:c r="H2" s="87" t="s">
        <x:v>1188</x:v>
      </x:c>
      <x:c r="I2" s="87"/>
      <x:c r="J2" s="87" t="s">
        <x:v>1189</x:v>
      </x:c>
      <x:c r="K2" s="87" t="s">
        <x:v>234</x:v>
      </x:c>
      <x:c r="L2" s="87" t="s">
        <x:v>1190</x:v>
      </x:c>
      <x:c r="M2" s="87" t="s">
        <x:v>1191</x:v>
      </x:c>
      <x:c r="N2" s="87" t="s">
        <x:v>1192</x:v>
      </x:c>
      <x:c r="O2" s="87"/>
    </x:row>
    <x:row r="3" ht="37.5" hidden="1" customHeight="1">
      <x:c r="A3" s="91" t="s">
        <x:v>235</x:v>
      </x:c>
      <x:c r="B3" s="91" t="s">
        <x:v>236</x:v>
      </x:c>
      <x:c r="C3" s="91" t="s">
        <x:v>1193</x:v>
      </x:c>
      <x:c r="D3" s="88" t="s">
        <x:v>69</x:v>
      </x:c>
      <x:c r="E3" s="89" t="s">
        <x:v>230</x:v>
      </x:c>
      <x:c r="F3" s="90" t="s">
        <x:v>74</x:v>
      </x:c>
      <x:c r="G3" s="91" t="s">
        <x:v>237</x:v>
      </x:c>
      <x:c r="H3" s="91" t="s">
        <x:v>1194</x:v>
      </x:c>
      <x:c r="I3" s="91" t="s">
        <x:v>228</x:v>
      </x:c>
      <x:c r="J3" s="91" t="s">
        <x:v>1195</x:v>
      </x:c>
      <x:c r="K3" s="91" t="s">
        <x:v>238</x:v>
      </x:c>
      <x:c r="L3" s="91" t="s">
        <x:v>1196</x:v>
      </x:c>
      <x:c r="M3" s="91" t="s">
        <x:v>1197</x:v>
      </x:c>
      <x:c r="N3" s="91" t="s">
        <x:v>1198</x:v>
      </x:c>
      <x:c r="O3" s="91"/>
    </x:row>
    <x:row r="4" ht="40" customHeight="1">
      <x:c r="A4" s="87" t="s">
        <x:v>239</x:v>
      </x:c>
      <x:c r="B4" s="87" t="s">
        <x:v>240</x:v>
      </x:c>
      <x:c r="C4" s="87" t="s">
        <x:v>1199</x:v>
      </x:c>
      <x:c r="D4" s="92" t="s">
        <x:v>77</x:v>
      </x:c>
      <x:c r="E4" s="93" t="s">
        <x:v>241</x:v>
      </x:c>
      <x:c r="F4" s="94" t="s">
        <x:v>83</x:v>
      </x:c>
      <x:c r="G4" s="87" t="s">
        <x:v>231</x:v>
      </x:c>
      <x:c r="H4" s="87" t="s">
        <x:v>1200</x:v>
      </x:c>
      <x:c r="I4" s="87" t="s">
        <x:v>235</x:v>
      </x:c>
      <x:c r="J4" s="87" t="s">
        <x:v>1201</x:v>
      </x:c>
      <x:c r="K4" s="87" t="s">
        <x:v>238</x:v>
      </x:c>
      <x:c r="L4" s="87" t="s">
        <x:v>1202</x:v>
      </x:c>
      <x:c r="M4" s="87" t="s">
        <x:v>1203</x:v>
      </x:c>
      <x:c r="N4" s="87" t="s">
        <x:v>1204</x:v>
      </x:c>
      <x:c r="O4" s="87" t="s">
        <x:v>242</x:v>
      </x:c>
    </x:row>
    <x:row r="5" ht="30" customHeight="1">
      <x:c r="A5" s="91" t="s">
        <x:v>243</x:v>
      </x:c>
      <x:c r="B5" s="91" t="s">
        <x:v>1205</x:v>
      </x:c>
      <x:c r="C5" s="91" t="s">
        <x:v>1206</x:v>
      </x:c>
      <x:c r="D5" s="92" t="s">
        <x:v>77</x:v>
      </x:c>
      <x:c r="E5" s="137" t="str">
        <x:v>미진행</x:v>
      </x:c>
      <x:c r="F5" s="94" t="s">
        <x:v>83</x:v>
      </x:c>
      <x:c r="G5" s="91" t="s">
        <x:v>231</x:v>
      </x:c>
      <x:c r="H5" s="91" t="s">
        <x:v>1207</x:v>
      </x:c>
      <x:c r="I5" s="91" t="s">
        <x:v>228</x:v>
      </x:c>
      <x:c r="J5" s="91" t="s">
        <x:v>1208</x:v>
      </x:c>
      <x:c r="K5" s="91" t="s">
        <x:v>238</x:v>
      </x:c>
      <x:c r="L5" s="91" t="s">
        <x:v>1209</x:v>
      </x:c>
      <x:c r="M5" s="91" t="s">
        <x:v>1210</x:v>
      </x:c>
      <x:c r="N5" s="91" t="s">
        <x:v>1211</x:v>
      </x:c>
      <x:c r="O5" s="91" t="str">
        <x:v>v3.0 (2026-10-27, 현준 회의 반영): 추가 미사용 만료·중요 작업 재인증은 2차 범위에서 제외한다. 기존 로그인·JWT/세션 만료·Refresh 처리는 유지한다. 원안은 추적용이며 신규 구현·인수 대상이 아니다.</x:v>
      </x:c>
    </x:row>
    <x:row r="6" ht="37.5" hidden="1" customHeight="1">
      <x:c r="A6" s="87" t="s">
        <x:v>244</x:v>
      </x:c>
      <x:c r="B6" s="87" t="s">
        <x:v>245</x:v>
      </x:c>
      <x:c r="C6" s="87" t="s">
        <x:v>1212</x:v>
      </x:c>
      <x:c r="D6" s="88" t="s">
        <x:v>69</x:v>
      </x:c>
      <x:c r="E6" s="89" t="s">
        <x:v>230</x:v>
      </x:c>
      <x:c r="F6" s="94" t="s">
        <x:v>83</x:v>
      </x:c>
      <x:c r="G6" s="87" t="s">
        <x:v>231</x:v>
      </x:c>
      <x:c r="H6" s="87" t="s">
        <x:v>1213</x:v>
      </x:c>
      <x:c r="I6" s="87"/>
      <x:c r="J6" s="87" t="s">
        <x:v>1214</x:v>
      </x:c>
      <x:c r="K6" s="87" t="s">
        <x:v>234</x:v>
      </x:c>
      <x:c r="L6" s="87" t="s">
        <x:v>1215</x:v>
      </x:c>
      <x:c r="M6" s="87" t="s">
        <x:v>1216</x:v>
      </x:c>
      <x:c r="N6" s="87" t="s">
        <x:v>1217</x:v>
      </x:c>
      <x:c r="O6" s="87" t="s">
        <x:v>247</x:v>
      </x:c>
    </x:row>
    <x:row r="7" ht="25" hidden="1" customHeight="1">
      <x:c r="A7" s="91" t="s">
        <x:v>248</x:v>
      </x:c>
      <x:c r="B7" s="91" t="s">
        <x:v>249</x:v>
      </x:c>
      <x:c r="C7" s="91" t="s">
        <x:v>1218</x:v>
      </x:c>
      <x:c r="D7" s="88" t="s">
        <x:v>69</x:v>
      </x:c>
      <x:c r="E7" s="89" t="s">
        <x:v>230</x:v>
      </x:c>
      <x:c r="F7" s="94" t="s">
        <x:v>83</x:v>
      </x:c>
      <x:c r="G7" s="91" t="s">
        <x:v>250</x:v>
      </x:c>
      <x:c r="H7" s="91" t="s">
        <x:v>1219</x:v>
      </x:c>
      <x:c r="I7" s="91"/>
      <x:c r="J7" s="91" t="s">
        <x:v>1214</x:v>
      </x:c>
      <x:c r="K7" s="91" t="s">
        <x:v>251</x:v>
      </x:c>
      <x:c r="L7" s="91" t="s">
        <x:v>1220</x:v>
      </x:c>
      <x:c r="M7" s="91" t="s">
        <x:v>1221</x:v>
      </x:c>
      <x:c r="N7" s="91" t="s">
        <x:v>1222</x:v>
      </x:c>
      <x:c r="O7" s="91" t="s">
        <x:v>247</x:v>
      </x:c>
    </x:row>
    <x:row r="8" ht="62.5" hidden="1" customHeight="1">
      <x:c r="A8" s="87" t="s">
        <x:v>252</x:v>
      </x:c>
      <x:c r="B8" s="87" t="s">
        <x:v>253</x:v>
      </x:c>
      <x:c r="C8" s="87" t="s">
        <x:v>1223</x:v>
      </x:c>
      <x:c r="D8" s="88" t="s">
        <x:v>69</x:v>
      </x:c>
      <x:c r="E8" s="89" t="s">
        <x:v>230</x:v>
      </x:c>
      <x:c r="F8" s="94" t="s">
        <x:v>83</x:v>
      </x:c>
      <x:c r="G8" s="87" t="s">
        <x:v>231</x:v>
      </x:c>
      <x:c r="H8" s="87" t="s">
        <x:v>1224</x:v>
      </x:c>
      <x:c r="I8" s="87" t="s">
        <x:v>248</x:v>
      </x:c>
      <x:c r="J8" s="87" t="s">
        <x:v>1225</x:v>
      </x:c>
      <x:c r="K8" s="87" t="s">
        <x:v>1226</x:v>
      </x:c>
      <x:c r="L8" s="87" t="s">
        <x:v>1227</x:v>
      </x:c>
      <x:c r="M8" s="87" t="s">
        <x:v>1228</x:v>
      </x:c>
      <x:c r="N8" s="87" t="s">
        <x:v>1229</x:v>
      </x:c>
      <x:c r="O8" s="87" t="s">
        <x:v>1230</x:v>
      </x:c>
    </x:row>
    <x:row r="9" ht="62.5" hidden="1" customHeight="1">
      <x:c r="A9" s="91" t="s">
        <x:v>256</x:v>
      </x:c>
      <x:c r="B9" s="91" t="s">
        <x:v>257</x:v>
      </x:c>
      <x:c r="C9" s="91" t="s">
        <x:v>1231</x:v>
      </x:c>
      <x:c r="D9" s="88" t="s">
        <x:v>69</x:v>
      </x:c>
      <x:c r="E9" s="89" t="s">
        <x:v>230</x:v>
      </x:c>
      <x:c r="F9" s="94" t="s">
        <x:v>83</x:v>
      </x:c>
      <x:c r="G9" s="91" t="s">
        <x:v>231</x:v>
      </x:c>
      <x:c r="H9" s="91" t="s">
        <x:v>1232</x:v>
      </x:c>
      <x:c r="I9" s="91" t="s">
        <x:v>244</x:v>
      </x:c>
      <x:c r="J9" s="91" t="s">
        <x:v>1214</x:v>
      </x:c>
      <x:c r="K9" s="91" t="s">
        <x:v>258</x:v>
      </x:c>
      <x:c r="L9" s="91" t="s">
        <x:v>1233</x:v>
      </x:c>
      <x:c r="M9" s="91" t="s">
        <x:v>1234</x:v>
      </x:c>
      <x:c r="N9" s="91" t="s">
        <x:v>1235</x:v>
      </x:c>
      <x:c r="O9" s="91" t="s">
        <x:v>1236</x:v>
      </x:c>
    </x:row>
    <x:row r="10" ht="37.5" hidden="1" customHeight="1">
      <x:c r="A10" s="87" t="s">
        <x:v>260</x:v>
      </x:c>
      <x:c r="B10" s="87" t="s">
        <x:v>261</x:v>
      </x:c>
      <x:c r="C10" s="87" t="s">
        <x:v>1237</x:v>
      </x:c>
      <x:c r="D10" s="88" t="s">
        <x:v>69</x:v>
      </x:c>
      <x:c r="E10" s="89" t="s">
        <x:v>230</x:v>
      </x:c>
      <x:c r="F10" s="94" t="s">
        <x:v>83</x:v>
      </x:c>
      <x:c r="G10" s="87" t="s">
        <x:v>231</x:v>
      </x:c>
      <x:c r="H10" s="87" t="s">
        <x:v>1238</x:v>
      </x:c>
      <x:c r="I10" s="87"/>
      <x:c r="J10" s="87" t="s">
        <x:v>1239</x:v>
      </x:c>
      <x:c r="K10" s="87" t="s">
        <x:v>263</x:v>
      </x:c>
      <x:c r="L10" s="87" t="s">
        <x:v>1240</x:v>
      </x:c>
      <x:c r="M10" s="87" t="s">
        <x:v>1241</x:v>
      </x:c>
      <x:c r="N10" s="87" t="s">
        <x:v>1242</x:v>
      </x:c>
      <x:c r="O10" s="87" t="s">
        <x:v>264</x:v>
      </x:c>
    </x:row>
    <x:row r="11" ht="52" customHeight="1">
      <x:c r="A11" s="91" t="s">
        <x:v>265</x:v>
      </x:c>
      <x:c r="B11" s="91" t="s">
        <x:v>266</x:v>
      </x:c>
      <x:c r="C11" s="91" t="s">
        <x:v>1243</x:v>
      </x:c>
      <x:c r="D11" s="92" t="s">
        <x:v>77</x:v>
      </x:c>
      <x:c r="E11" s="95" t="s">
        <x:v>267</x:v>
      </x:c>
      <x:c r="F11" s="94" t="s">
        <x:v>83</x:v>
      </x:c>
      <x:c r="G11" s="91" t="s">
        <x:v>237</x:v>
      </x:c>
      <x:c r="H11" s="91" t="s">
        <x:v>1244</x:v>
      </x:c>
      <x:c r="I11" s="91" t="s">
        <x:v>256</x:v>
      </x:c>
      <x:c r="J11" s="91" t="s">
        <x:v>1245</x:v>
      </x:c>
      <x:c r="K11" s="91" t="s">
        <x:v>269</x:v>
      </x:c>
      <x:c r="L11" s="91" t="s">
        <x:v>1246</x:v>
      </x:c>
      <x:c r="M11" s="91" t="s">
        <x:v>1247</x:v>
      </x:c>
      <x:c r="N11" s="91" t="s">
        <x:v>1248</x:v>
      </x:c>
      <x:c r="O11" s="91" t="s">
        <x:v>270</x:v>
      </x:c>
    </x:row>
    <x:row r="12" ht="87.55000305175781" hidden="1" customHeight="1">
      <x:c r="A12" s="87" t="s">
        <x:v>271</x:v>
      </x:c>
      <x:c r="B12" s="87" t="s">
        <x:v>272</x:v>
      </x:c>
      <x:c r="C12" s="87" t="s">
        <x:v>1249</x:v>
      </x:c>
      <x:c r="D12" s="88" t="s">
        <x:v>69</x:v>
      </x:c>
      <x:c r="E12" s="89" t="s">
        <x:v>230</x:v>
      </x:c>
      <x:c r="F12" s="90" t="s">
        <x:v>74</x:v>
      </x:c>
      <x:c r="G12" s="87" t="s">
        <x:v>237</x:v>
      </x:c>
      <x:c r="H12" s="87" t="s">
        <x:v>1250</x:v>
      </x:c>
      <x:c r="I12" s="87" t="s">
        <x:v>273</x:v>
      </x:c>
      <x:c r="J12" s="87" t="s">
        <x:v>1251</x:v>
      </x:c>
      <x:c r="K12" s="87" t="s">
        <x:v>275</x:v>
      </x:c>
      <x:c r="L12" s="87" t="s">
        <x:v>1252</x:v>
      </x:c>
      <x:c r="M12" s="87" t="s">
        <x:v>1253</x:v>
      </x:c>
      <x:c r="N12" s="87" t="s">
        <x:v>1254</x:v>
      </x:c>
      <x:c r="O12" s="87" t="s">
        <x:v>276</x:v>
      </x:c>
    </x:row>
    <x:row r="13" ht="75" hidden="1" customHeight="1">
      <x:c r="A13" s="91" t="s">
        <x:v>277</x:v>
      </x:c>
      <x:c r="B13" s="91" t="s">
        <x:v>278</x:v>
      </x:c>
      <x:c r="C13" s="91" t="s">
        <x:v>1255</x:v>
      </x:c>
      <x:c r="D13" s="88" t="s">
        <x:v>69</x:v>
      </x:c>
      <x:c r="E13" s="89" t="s">
        <x:v>230</x:v>
      </x:c>
      <x:c r="F13" s="90" t="s">
        <x:v>74</x:v>
      </x:c>
      <x:c r="G13" s="91" t="s">
        <x:v>237</x:v>
      </x:c>
      <x:c r="H13" s="91" t="s">
        <x:v>1256</x:v>
      </x:c>
      <x:c r="I13" s="91" t="s">
        <x:v>260</x:v>
      </x:c>
      <x:c r="J13" s="91" t="s">
        <x:v>1257</x:v>
      </x:c>
      <x:c r="K13" s="91" t="s">
        <x:v>1258</x:v>
      </x:c>
      <x:c r="L13" s="91" t="s">
        <x:v>1259</x:v>
      </x:c>
      <x:c r="M13" s="91" t="s">
        <x:v>1260</x:v>
      </x:c>
      <x:c r="N13" s="91" t="s">
        <x:v>1261</x:v>
      </x:c>
      <x:c r="O13" s="91" t="s">
        <x:v>1262</x:v>
      </x:c>
    </x:row>
    <x:row r="14" ht="112.5" hidden="1" customHeight="1">
      <x:c r="A14" s="87" t="s">
        <x:v>281</x:v>
      </x:c>
      <x:c r="B14" s="87" t="s">
        <x:v>282</x:v>
      </x:c>
      <x:c r="C14" s="87" t="s">
        <x:v>1263</x:v>
      </x:c>
      <x:c r="D14" s="88" t="s">
        <x:v>69</x:v>
      </x:c>
      <x:c r="E14" s="89" t="s">
        <x:v>230</x:v>
      </x:c>
      <x:c r="F14" s="90" t="s">
        <x:v>74</x:v>
      </x:c>
      <x:c r="G14" s="87" t="s">
        <x:v>237</x:v>
      </x:c>
      <x:c r="H14" s="87" t="s">
        <x:v>1264</x:v>
      </x:c>
      <x:c r="I14" s="87" t="s">
        <x:v>283</x:v>
      </x:c>
      <x:c r="J14" s="87" t="s">
        <x:v>1265</x:v>
      </x:c>
      <x:c r="K14" s="87" t="s">
        <x:v>1266</x:v>
      </x:c>
      <x:c r="L14" s="87" t="s">
        <x:v>1267</x:v>
      </x:c>
      <x:c r="M14" s="87" t="s">
        <x:v>1268</x:v>
      </x:c>
      <x:c r="N14" s="87" t="s">
        <x:v>1269</x:v>
      </x:c>
      <x:c r="O14" s="87" t="s">
        <x:v>1270</x:v>
      </x:c>
    </x:row>
    <x:row r="15" ht="88" customHeight="1">
      <x:c r="A15" s="96" t="s">
        <x:v>286</x:v>
      </x:c>
      <x:c r="B15" s="96" t="s">
        <x:v>287</x:v>
      </x:c>
      <x:c r="C15" s="96" t="s">
        <x:v>1271</x:v>
      </x:c>
      <x:c r="D15" s="97" t="s">
        <x:v>77</x:v>
      </x:c>
      <x:c r="E15" s="89" t="s">
        <x:v>230</x:v>
      </x:c>
      <x:c r="F15" s="98" t="s">
        <x:v>74</x:v>
      </x:c>
      <x:c r="G15" s="96" t="s">
        <x:v>237</x:v>
      </x:c>
      <x:c r="H15" s="96" t="s">
        <x:v>1272</x:v>
      </x:c>
      <x:c r="I15" s="96" t="s">
        <x:v>288</x:v>
      </x:c>
      <x:c r="J15" s="96" t="s">
        <x:v>1273</x:v>
      </x:c>
      <x:c r="K15" s="96" t="s">
        <x:v>1274</x:v>
      </x:c>
      <x:c r="L15" s="96" t="s">
        <x:v>1275</x:v>
      </x:c>
      <x:c r="M15" s="96" t="s">
        <x:v>1276</x:v>
      </x:c>
      <x:c r="N15" s="96" t="s">
        <x:v>1277</x:v>
      </x:c>
      <x:c r="O15" s="96" t="s">
        <x:v>290</x:v>
      </x:c>
    </x:row>
    <x:row r="16" ht="40" customHeight="1">
      <x:c r="A16" s="99" t="s">
        <x:v>291</x:v>
      </x:c>
      <x:c r="B16" s="99" t="s">
        <x:v>292</x:v>
      </x:c>
      <x:c r="C16" s="99" t="s">
        <x:v>1278</x:v>
      </x:c>
      <x:c r="D16" s="97" t="s">
        <x:v>77</x:v>
      </x:c>
      <x:c r="E16" s="89" t="s">
        <x:v>230</x:v>
      </x:c>
      <x:c r="F16" s="98" t="s">
        <x:v>74</x:v>
      </x:c>
      <x:c r="G16" s="99" t="s">
        <x:v>237</x:v>
      </x:c>
      <x:c r="H16" s="99" t="s">
        <x:v>1279</x:v>
      </x:c>
      <x:c r="I16" s="99" t="s">
        <x:v>277</x:v>
      </x:c>
      <x:c r="J16" s="99" t="s">
        <x:v>1280</x:v>
      </x:c>
      <x:c r="K16" s="99" t="s">
        <x:v>234</x:v>
      </x:c>
      <x:c r="L16" s="99" t="s">
        <x:v>1281</x:v>
      </x:c>
      <x:c r="M16" s="99" t="s">
        <x:v>1282</x:v>
      </x:c>
      <x:c r="N16" s="99" t="s">
        <x:v>1283</x:v>
      </x:c>
      <x:c r="O16" s="99" t="s">
        <x:v>293</x:v>
      </x:c>
    </x:row>
    <x:row r="17" ht="100" customHeight="1">
      <x:c r="A17" s="91" t="s">
        <x:v>294</x:v>
      </x:c>
      <x:c r="B17" s="91" t="s">
        <x:v>295</x:v>
      </x:c>
      <x:c r="C17" s="91" t="s">
        <x:v>1284</x:v>
      </x:c>
      <x:c r="D17" s="92" t="s">
        <x:v>77</x:v>
      </x:c>
      <x:c r="E17" s="89" t="s">
        <x:v>230</x:v>
      </x:c>
      <x:c r="F17" s="94" t="s">
        <x:v>83</x:v>
      </x:c>
      <x:c r="G17" s="91" t="s">
        <x:v>231</x:v>
      </x:c>
      <x:c r="H17" s="91" t="s">
        <x:v>1285</x:v>
      </x:c>
      <x:c r="I17" s="91" t="s">
        <x:v>277</x:v>
      </x:c>
      <x:c r="J17" s="91" t="s">
        <x:v>1286</x:v>
      </x:c>
      <x:c r="K17" s="91" t="s">
        <x:v>296</x:v>
      </x:c>
      <x:c r="L17" s="91" t="s">
        <x:v>1287</x:v>
      </x:c>
      <x:c r="M17" s="91" t="s">
        <x:v>1288</x:v>
      </x:c>
      <x:c r="N17" s="91" t="s">
        <x:v>1289</x:v>
      </x:c>
      <x:c r="O17" s="91" t="s">
        <x:v>297</x:v>
      </x:c>
    </x:row>
    <x:row r="18" ht="76" customHeight="1">
      <x:c r="A18" s="87" t="s">
        <x:v>298</x:v>
      </x:c>
      <x:c r="B18" s="87" t="s">
        <x:v>299</x:v>
      </x:c>
      <x:c r="C18" s="87" t="s">
        <x:v>1290</x:v>
      </x:c>
      <x:c r="D18" s="92" t="s">
        <x:v>77</x:v>
      </x:c>
      <x:c r="E18" s="89" t="s">
        <x:v>230</x:v>
      </x:c>
      <x:c r="F18" s="94" t="s">
        <x:v>83</x:v>
      </x:c>
      <x:c r="G18" s="87" t="s">
        <x:v>237</x:v>
      </x:c>
      <x:c r="H18" s="87" t="s">
        <x:v>1291</x:v>
      </x:c>
      <x:c r="I18" s="87" t="s">
        <x:v>300</x:v>
      </x:c>
      <x:c r="J18" s="87" t="s">
        <x:v>1292</x:v>
      </x:c>
      <x:c r="K18" s="87" t="s">
        <x:v>301</x:v>
      </x:c>
      <x:c r="L18" s="87" t="s">
        <x:v>1293</x:v>
      </x:c>
      <x:c r="M18" s="87" t="s">
        <x:v>1294</x:v>
      </x:c>
      <x:c r="N18" s="87" t="s">
        <x:v>1295</x:v>
      </x:c>
      <x:c r="O18" s="87" t="s">
        <x:v>302</x:v>
      </x:c>
    </x:row>
    <x:row r="19" ht="37.5" hidden="1" customHeight="1">
      <x:c r="A19" s="91" t="s">
        <x:v>303</x:v>
      </x:c>
      <x:c r="B19" s="91" t="s">
        <x:v>304</x:v>
      </x:c>
      <x:c r="C19" s="91" t="s">
        <x:v>1296</x:v>
      </x:c>
      <x:c r="D19" s="88" t="s">
        <x:v>69</x:v>
      </x:c>
      <x:c r="E19" s="89" t="s">
        <x:v>230</x:v>
      </x:c>
      <x:c r="F19" s="90" t="s">
        <x:v>74</x:v>
      </x:c>
      <x:c r="G19" s="91" t="s">
        <x:v>231</x:v>
      </x:c>
      <x:c r="H19" s="91" t="s">
        <x:v>1297</x:v>
      </x:c>
      <x:c r="I19" s="91" t="s">
        <x:v>305</x:v>
      </x:c>
      <x:c r="J19" s="91" t="s">
        <x:v>1298</x:v>
      </x:c>
      <x:c r="K19" s="91" t="s">
        <x:v>234</x:v>
      </x:c>
      <x:c r="L19" s="91" t="s">
        <x:v>1299</x:v>
      </x:c>
      <x:c r="M19" s="91" t="s">
        <x:v>1300</x:v>
      </x:c>
      <x:c r="N19" s="91" t="s">
        <x:v>1301</x:v>
      </x:c>
      <x:c r="O19" s="91" t="s">
        <x:v>307</x:v>
      </x:c>
    </x:row>
    <x:row r="20" ht="40" customHeight="1">
      <x:c r="A20" s="99" t="s">
        <x:v>308</x:v>
      </x:c>
      <x:c r="B20" s="99" t="s">
        <x:v>309</x:v>
      </x:c>
      <x:c r="C20" s="99" t="s">
        <x:v>1302</x:v>
      </x:c>
      <x:c r="D20" s="97" t="s">
        <x:v>77</x:v>
      </x:c>
      <x:c r="E20" s="89" t="s">
        <x:v>230</x:v>
      </x:c>
      <x:c r="F20" s="98" t="s">
        <x:v>74</x:v>
      </x:c>
      <x:c r="G20" s="99" t="s">
        <x:v>237</x:v>
      </x:c>
      <x:c r="H20" s="99" t="s">
        <x:v>1303</x:v>
      </x:c>
      <x:c r="I20" s="99" t="s">
        <x:v>303</x:v>
      </x:c>
      <x:c r="J20" s="99" t="s">
        <x:v>1304</x:v>
      </x:c>
      <x:c r="K20" s="99" t="s">
        <x:v>234</x:v>
      </x:c>
      <x:c r="L20" s="99" t="s">
        <x:v>1305</x:v>
      </x:c>
      <x:c r="M20" s="99" t="s">
        <x:v>1306</x:v>
      </x:c>
      <x:c r="N20" s="99" t="s">
        <x:v>1307</x:v>
      </x:c>
      <x:c r="O20" s="99" t="s">
        <x:v>310</x:v>
      </x:c>
    </x:row>
    <x:row r="21" ht="52" customHeight="1">
      <x:c r="A21" s="96" t="s">
        <x:v>311</x:v>
      </x:c>
      <x:c r="B21" s="96" t="s">
        <x:v>312</x:v>
      </x:c>
      <x:c r="C21" s="96" t="s">
        <x:v>1308</x:v>
      </x:c>
      <x:c r="D21" s="97" t="s">
        <x:v>77</x:v>
      </x:c>
      <x:c r="E21" s="89" t="s">
        <x:v>230</x:v>
      </x:c>
      <x:c r="F21" s="98" t="s">
        <x:v>74</x:v>
      </x:c>
      <x:c r="G21" s="96" t="s">
        <x:v>231</x:v>
      </x:c>
      <x:c r="H21" s="96" t="s">
        <x:v>1309</x:v>
      </x:c>
      <x:c r="I21" s="96" t="s">
        <x:v>308</x:v>
      </x:c>
      <x:c r="J21" s="96" t="s">
        <x:v>1310</x:v>
      </x:c>
      <x:c r="K21" s="96" t="s">
        <x:v>234</x:v>
      </x:c>
      <x:c r="L21" s="96" t="s">
        <x:v>1311</x:v>
      </x:c>
      <x:c r="M21" s="96" t="s">
        <x:v>1312</x:v>
      </x:c>
      <x:c r="N21" s="96" t="s">
        <x:v>1313</x:v>
      </x:c>
      <x:c r="O21" s="96" t="s">
        <x:v>313</x:v>
      </x:c>
    </x:row>
    <x:row r="22" ht="100" customHeight="1">
      <x:c r="A22" s="87" t="s">
        <x:v>314</x:v>
      </x:c>
      <x:c r="B22" s="87" t="s">
        <x:v>315</x:v>
      </x:c>
      <x:c r="C22" s="87" t="s">
        <x:v>1314</x:v>
      </x:c>
      <x:c r="D22" s="92" t="s">
        <x:v>77</x:v>
      </x:c>
      <x:c r="E22" s="89" t="s">
        <x:v>230</x:v>
      </x:c>
      <x:c r="F22" s="94" t="s">
        <x:v>83</x:v>
      </x:c>
      <x:c r="G22" s="87" t="s">
        <x:v>250</x:v>
      </x:c>
      <x:c r="H22" s="87" t="s">
        <x:v>1315</x:v>
      </x:c>
      <x:c r="I22" s="87" t="s">
        <x:v>311</x:v>
      </x:c>
      <x:c r="J22" s="87" t="s">
        <x:v>1316</x:v>
      </x:c>
      <x:c r="K22" s="87" t="s">
        <x:v>238</x:v>
      </x:c>
      <x:c r="L22" s="87" t="s">
        <x:v>1317</x:v>
      </x:c>
      <x:c r="M22" s="87" t="s">
        <x:v>1318</x:v>
      </x:c>
      <x:c r="N22" s="87" t="s">
        <x:v>1319</x:v>
      </x:c>
      <x:c r="O22" s="87" t="s">
        <x:v>317</x:v>
      </x:c>
    </x:row>
    <x:row r="23" ht="40" customHeight="1">
      <x:c r="A23" s="96" t="s">
        <x:v>318</x:v>
      </x:c>
      <x:c r="B23" s="96" t="s">
        <x:v>319</x:v>
      </x:c>
      <x:c r="C23" s="96" t="s">
        <x:v>1320</x:v>
      </x:c>
      <x:c r="D23" s="97" t="s">
        <x:v>77</x:v>
      </x:c>
      <x:c r="E23" s="89" t="s">
        <x:v>230</x:v>
      </x:c>
      <x:c r="F23" s="98" t="s">
        <x:v>74</x:v>
      </x:c>
      <x:c r="G23" s="96" t="s">
        <x:v>237</x:v>
      </x:c>
      <x:c r="H23" s="96" t="s">
        <x:v>1321</x:v>
      </x:c>
      <x:c r="I23" s="96" t="s">
        <x:v>320</x:v>
      </x:c>
      <x:c r="J23" s="96" t="s">
        <x:v>1322</x:v>
      </x:c>
      <x:c r="K23" s="96" t="s">
        <x:v>234</x:v>
      </x:c>
      <x:c r="L23" s="96" t="s">
        <x:v>1323</x:v>
      </x:c>
      <x:c r="M23" s="96" t="s">
        <x:v>1324</x:v>
      </x:c>
      <x:c r="N23" s="96" t="s">
        <x:v>1325</x:v>
      </x:c>
      <x:c r="O23" s="96" t="s">
        <x:v>321</x:v>
      </x:c>
    </x:row>
    <x:row r="24" ht="64" customHeight="1">
      <x:c r="A24" s="87" t="s">
        <x:v>322</x:v>
      </x:c>
      <x:c r="B24" s="87" t="s">
        <x:v>323</x:v>
      </x:c>
      <x:c r="C24" s="87" t="s">
        <x:v>1326</x:v>
      </x:c>
      <x:c r="D24" s="92" t="s">
        <x:v>77</x:v>
      </x:c>
      <x:c r="E24" s="89" t="s">
        <x:v>230</x:v>
      </x:c>
      <x:c r="F24" s="94" t="s">
        <x:v>83</x:v>
      </x:c>
      <x:c r="G24" s="87" t="s">
        <x:v>237</x:v>
      </x:c>
      <x:c r="H24" s="87" t="s">
        <x:v>1327</x:v>
      </x:c>
      <x:c r="I24" s="87" t="s">
        <x:v>324</x:v>
      </x:c>
      <x:c r="J24" s="87" t="s">
        <x:v>1328</x:v>
      </x:c>
      <x:c r="K24" s="87" t="s">
        <x:v>251</x:v>
      </x:c>
      <x:c r="L24" s="87" t="s">
        <x:v>1329</x:v>
      </x:c>
      <x:c r="M24" s="87" t="s">
        <x:v>1330</x:v>
      </x:c>
      <x:c r="N24" s="87" t="s">
        <x:v>1331</x:v>
      </x:c>
      <x:c r="O24" s="87" t="s">
        <x:v>325</x:v>
      </x:c>
    </x:row>
    <x:row r="25" ht="100" hidden="1" customHeight="1">
      <x:c r="A25" s="91" t="s">
        <x:v>326</x:v>
      </x:c>
      <x:c r="B25" s="91" t="s">
        <x:v>327</x:v>
      </x:c>
      <x:c r="C25" s="91" t="s">
        <x:v>1332</x:v>
      </x:c>
      <x:c r="D25" s="88" t="s">
        <x:v>69</x:v>
      </x:c>
      <x:c r="E25" s="89" t="s">
        <x:v>230</x:v>
      </x:c>
      <x:c r="F25" s="90" t="s">
        <x:v>74</x:v>
      </x:c>
      <x:c r="G25" s="91" t="s">
        <x:v>237</x:v>
      </x:c>
      <x:c r="H25" s="91" t="s">
        <x:v>1333</x:v>
      </x:c>
      <x:c r="I25" s="91" t="s">
        <x:v>328</x:v>
      </x:c>
      <x:c r="J25" s="91" t="s">
        <x:v>1334</x:v>
      </x:c>
      <x:c r="K25" s="91" t="s">
        <x:v>330</x:v>
      </x:c>
      <x:c r="L25" s="91" t="s">
        <x:v>1335</x:v>
      </x:c>
      <x:c r="M25" s="91" t="s">
        <x:v>1336</x:v>
      </x:c>
      <x:c r="N25" s="91" t="s">
        <x:v>1337</x:v>
      </x:c>
      <x:c r="O25" s="91" t="s">
        <x:v>1338</x:v>
      </x:c>
    </x:row>
    <x:row r="26" ht="75" hidden="1" customHeight="1">
      <x:c r="A26" s="87" t="s">
        <x:v>332</x:v>
      </x:c>
      <x:c r="B26" s="87" t="s">
        <x:v>333</x:v>
      </x:c>
      <x:c r="C26" s="87" t="s">
        <x:v>1339</x:v>
      </x:c>
      <x:c r="D26" s="88" t="s">
        <x:v>69</x:v>
      </x:c>
      <x:c r="E26" s="89" t="s">
        <x:v>230</x:v>
      </x:c>
      <x:c r="F26" s="90" t="s">
        <x:v>74</x:v>
      </x:c>
      <x:c r="G26" s="87" t="s">
        <x:v>237</x:v>
      </x:c>
      <x:c r="H26" s="87" t="s">
        <x:v>1340</x:v>
      </x:c>
      <x:c r="I26" s="87" t="s">
        <x:v>334</x:v>
      </x:c>
      <x:c r="J26" s="87" t="s">
        <x:v>1341</x:v>
      </x:c>
      <x:c r="K26" s="87" t="s">
        <x:v>335</x:v>
      </x:c>
      <x:c r="L26" s="87" t="s">
        <x:v>1342</x:v>
      </x:c>
      <x:c r="M26" s="87" t="s">
        <x:v>1343</x:v>
      </x:c>
      <x:c r="N26" s="87" t="s">
        <x:v>1344</x:v>
      </x:c>
      <x:c r="O26" s="87" t="s">
        <x:v>1345</x:v>
      </x:c>
    </x:row>
    <x:row r="27" ht="37.5" hidden="1" customHeight="1">
      <x:c r="A27" s="91" t="s">
        <x:v>337</x:v>
      </x:c>
      <x:c r="B27" s="91" t="s">
        <x:v>338</x:v>
      </x:c>
      <x:c r="C27" s="91" t="s">
        <x:v>1346</x:v>
      </x:c>
      <x:c r="D27" s="88" t="s">
        <x:v>69</x:v>
      </x:c>
      <x:c r="E27" s="89" t="s">
        <x:v>230</x:v>
      </x:c>
      <x:c r="F27" s="90" t="s">
        <x:v>74</x:v>
      </x:c>
      <x:c r="G27" s="91" t="s">
        <x:v>231</x:v>
      </x:c>
      <x:c r="H27" s="91" t="s">
        <x:v>1347</x:v>
      </x:c>
      <x:c r="I27" s="91" t="s">
        <x:v>339</x:v>
      </x:c>
      <x:c r="J27" s="91" t="s">
        <x:v>1201</x:v>
      </x:c>
      <x:c r="K27" s="91" t="s">
        <x:v>234</x:v>
      </x:c>
      <x:c r="L27" s="91" t="s">
        <x:v>1348</x:v>
      </x:c>
      <x:c r="M27" s="91" t="s">
        <x:v>1349</x:v>
      </x:c>
      <x:c r="N27" s="91" t="s">
        <x:v>1350</x:v>
      </x:c>
      <x:c r="O27" s="91" t="s">
        <x:v>1351</x:v>
      </x:c>
    </x:row>
    <x:row r="28" ht="75" hidden="1" customHeight="1">
      <x:c r="A28" s="87" t="s">
        <x:v>341</x:v>
      </x:c>
      <x:c r="B28" s="87" t="s">
        <x:v>342</x:v>
      </x:c>
      <x:c r="C28" s="87" t="s">
        <x:v>1352</x:v>
      </x:c>
      <x:c r="D28" s="88" t="s">
        <x:v>69</x:v>
      </x:c>
      <x:c r="E28" s="89" t="s">
        <x:v>230</x:v>
      </x:c>
      <x:c r="F28" s="90" t="s">
        <x:v>74</x:v>
      </x:c>
      <x:c r="G28" s="87" t="s">
        <x:v>237</x:v>
      </x:c>
      <x:c r="H28" s="87" t="s">
        <x:v>1353</x:v>
      </x:c>
      <x:c r="I28" s="87" t="s">
        <x:v>343</x:v>
      </x:c>
      <x:c r="J28" s="87" t="s">
        <x:v>1354</x:v>
      </x:c>
      <x:c r="K28" s="87" t="s">
        <x:v>344</x:v>
      </x:c>
      <x:c r="L28" s="87" t="s">
        <x:v>1355</x:v>
      </x:c>
      <x:c r="M28" s="87" t="s">
        <x:v>1356</x:v>
      </x:c>
      <x:c r="N28" s="87" t="s">
        <x:v>1357</x:v>
      </x:c>
      <x:c r="O28" s="87" t="s">
        <x:v>345</x:v>
      </x:c>
    </x:row>
    <x:row r="29" ht="37.5" hidden="1" customHeight="1">
      <x:c r="A29" s="91" t="s">
        <x:v>346</x:v>
      </x:c>
      <x:c r="B29" s="91" t="s">
        <x:v>347</x:v>
      </x:c>
      <x:c r="C29" s="91" t="s">
        <x:v>1358</x:v>
      </x:c>
      <x:c r="D29" s="88" t="s">
        <x:v>69</x:v>
      </x:c>
      <x:c r="E29" s="89" t="s">
        <x:v>230</x:v>
      </x:c>
      <x:c r="F29" s="90" t="s">
        <x:v>74</x:v>
      </x:c>
      <x:c r="G29" s="91" t="s">
        <x:v>231</x:v>
      </x:c>
      <x:c r="H29" s="91" t="s">
        <x:v>1359</x:v>
      </x:c>
      <x:c r="I29" s="91" t="s">
        <x:v>348</x:v>
      </x:c>
      <x:c r="J29" s="91" t="s">
        <x:v>1360</x:v>
      </x:c>
      <x:c r="K29" s="91" t="s">
        <x:v>349</x:v>
      </x:c>
      <x:c r="L29" s="91" t="s">
        <x:v>1361</x:v>
      </x:c>
      <x:c r="M29" s="91" t="s">
        <x:v>1362</x:v>
      </x:c>
      <x:c r="N29" s="91" t="s">
        <x:v>1363</x:v>
      </x:c>
      <x:c r="O29" s="91" t="s">
        <x:v>1364</x:v>
      </x:c>
    </x:row>
    <x:row r="30" ht="50.04999923706055" hidden="1" customHeight="1">
      <x:c r="A30" s="87" t="s">
        <x:v>351</x:v>
      </x:c>
      <x:c r="B30" s="87" t="s">
        <x:v>352</x:v>
      </x:c>
      <x:c r="C30" s="87" t="s">
        <x:v>1365</x:v>
      </x:c>
      <x:c r="D30" s="88" t="s">
        <x:v>69</x:v>
      </x:c>
      <x:c r="E30" s="89" t="s">
        <x:v>230</x:v>
      </x:c>
      <x:c r="F30" s="94" t="s">
        <x:v>83</x:v>
      </x:c>
      <x:c r="G30" s="87" t="s">
        <x:v>231</x:v>
      </x:c>
      <x:c r="H30" s="87" t="s">
        <x:v>1366</x:v>
      </x:c>
      <x:c r="I30" s="87" t="s">
        <x:v>353</x:v>
      </x:c>
      <x:c r="J30" s="87" t="s">
        <x:v>1367</x:v>
      </x:c>
      <x:c r="K30" s="87" t="s">
        <x:v>234</x:v>
      </x:c>
      <x:c r="L30" s="87" t="s">
        <x:v>1368</x:v>
      </x:c>
      <x:c r="M30" s="87" t="s">
        <x:v>1369</x:v>
      </x:c>
      <x:c r="N30" s="87" t="s">
        <x:v>1370</x:v>
      </x:c>
      <x:c r="O30" s="87"/>
    </x:row>
    <x:row r="31" ht="75" hidden="1" customHeight="1">
      <x:c r="A31" s="91" t="s">
        <x:v>354</x:v>
      </x:c>
      <x:c r="B31" s="91" t="s">
        <x:v>355</x:v>
      </x:c>
      <x:c r="C31" s="91" t="s">
        <x:v>1371</x:v>
      </x:c>
      <x:c r="D31" s="88" t="s">
        <x:v>69</x:v>
      </x:c>
      <x:c r="E31" s="89" t="s">
        <x:v>230</x:v>
      </x:c>
      <x:c r="F31" s="90" t="s">
        <x:v>74</x:v>
      </x:c>
      <x:c r="G31" s="91" t="s">
        <x:v>237</x:v>
      </x:c>
      <x:c r="H31" s="91" t="s">
        <x:v>1372</x:v>
      </x:c>
      <x:c r="I31" s="91" t="s">
        <x:v>356</x:v>
      </x:c>
      <x:c r="J31" s="91" t="s">
        <x:v>1373</x:v>
      </x:c>
      <x:c r="K31" s="91" t="s">
        <x:v>358</x:v>
      </x:c>
      <x:c r="L31" s="91" t="s">
        <x:v>1374</x:v>
      </x:c>
      <x:c r="M31" s="91" t="s">
        <x:v>1375</x:v>
      </x:c>
      <x:c r="N31" s="91" t="s">
        <x:v>1376</x:v>
      </x:c>
      <x:c r="O31" s="91" t="s">
        <x:v>359</x:v>
      </x:c>
    </x:row>
    <x:row r="32" ht="112" customHeight="1">
      <x:c r="A32" s="99" t="s">
        <x:v>360</x:v>
      </x:c>
      <x:c r="B32" s="99" t="s">
        <x:v>361</x:v>
      </x:c>
      <x:c r="C32" s="99" t="s">
        <x:v>1377</x:v>
      </x:c>
      <x:c r="D32" s="97" t="s">
        <x:v>77</x:v>
      </x:c>
      <x:c r="E32" s="89" t="s">
        <x:v>230</x:v>
      </x:c>
      <x:c r="F32" s="98" t="s">
        <x:v>74</x:v>
      </x:c>
      <x:c r="G32" s="99" t="s">
        <x:v>237</x:v>
      </x:c>
      <x:c r="H32" s="99" t="s">
        <x:v>1378</x:v>
      </x:c>
      <x:c r="I32" s="99" t="s">
        <x:v>362</x:v>
      </x:c>
      <x:c r="J32" s="99" t="s">
        <x:v>1379</x:v>
      </x:c>
      <x:c r="K32" s="99" t="s">
        <x:v>1380</x:v>
      </x:c>
      <x:c r="L32" s="99" t="s">
        <x:v>1381</x:v>
      </x:c>
      <x:c r="M32" s="99" t="s">
        <x:v>1382</x:v>
      </x:c>
      <x:c r="N32" s="99" t="s">
        <x:v>1383</x:v>
      </x:c>
      <x:c r="O32" s="99" t="s">
        <x:v>364</x:v>
      </x:c>
    </x:row>
    <x:row r="33" ht="124" customHeight="1">
      <x:c r="A33" s="96" t="s">
        <x:v>365</x:v>
      </x:c>
      <x:c r="B33" s="96" t="s">
        <x:v>366</x:v>
      </x:c>
      <x:c r="C33" s="96" t="s">
        <x:v>1384</x:v>
      </x:c>
      <x:c r="D33" s="97" t="s">
        <x:v>77</x:v>
      </x:c>
      <x:c r="E33" s="89" t="s">
        <x:v>230</x:v>
      </x:c>
      <x:c r="F33" s="98" t="s">
        <x:v>74</x:v>
      </x:c>
      <x:c r="G33" s="96" t="s">
        <x:v>237</x:v>
      </x:c>
      <x:c r="H33" s="96" t="s">
        <x:v>1385</x:v>
      </x:c>
      <x:c r="I33" s="96" t="s">
        <x:v>362</x:v>
      </x:c>
      <x:c r="J33" s="96" t="s">
        <x:v>1386</x:v>
      </x:c>
      <x:c r="K33" s="96" t="s">
        <x:v>367</x:v>
      </x:c>
      <x:c r="L33" s="96" t="s">
        <x:v>1387</x:v>
      </x:c>
      <x:c r="M33" s="96" t="s">
        <x:v>1382</x:v>
      </x:c>
      <x:c r="N33" s="96" t="s">
        <x:v>1388</x:v>
      </x:c>
      <x:c r="O33" s="96" t="s">
        <x:v>368</x:v>
      </x:c>
    </x:row>
    <x:row r="34" ht="62.5" hidden="1" customHeight="1">
      <x:c r="A34" s="87" t="s">
        <x:v>369</x:v>
      </x:c>
      <x:c r="B34" s="87" t="s">
        <x:v>370</x:v>
      </x:c>
      <x:c r="C34" s="87" t="s">
        <x:v>1389</x:v>
      </x:c>
      <x:c r="D34" s="88" t="s">
        <x:v>69</x:v>
      </x:c>
      <x:c r="E34" s="89" t="s">
        <x:v>230</x:v>
      </x:c>
      <x:c r="F34" s="90" t="s">
        <x:v>74</x:v>
      </x:c>
      <x:c r="G34" s="87" t="s">
        <x:v>237</x:v>
      </x:c>
      <x:c r="H34" s="87" t="s">
        <x:v>1390</x:v>
      </x:c>
      <x:c r="I34" s="87" t="s">
        <x:v>371</x:v>
      </x:c>
      <x:c r="J34" s="87" t="s">
        <x:v>1391</x:v>
      </x:c>
      <x:c r="K34" s="87" t="s">
        <x:v>234</x:v>
      </x:c>
      <x:c r="L34" s="87" t="s">
        <x:v>1392</x:v>
      </x:c>
      <x:c r="M34" s="87" t="s">
        <x:v>1393</x:v>
      </x:c>
      <x:c r="N34" s="87" t="s">
        <x:v>1394</x:v>
      </x:c>
      <x:c r="O34" s="87" t="s">
        <x:v>372</x:v>
      </x:c>
    </x:row>
    <x:row r="35" ht="50.04999923706055" hidden="1" customHeight="1">
      <x:c r="A35" s="91" t="s">
        <x:v>373</x:v>
      </x:c>
      <x:c r="B35" s="91" t="s">
        <x:v>374</x:v>
      </x:c>
      <x:c r="C35" s="91" t="s">
        <x:v>1395</x:v>
      </x:c>
      <x:c r="D35" s="88" t="s">
        <x:v>69</x:v>
      </x:c>
      <x:c r="E35" s="89" t="s">
        <x:v>230</x:v>
      </x:c>
      <x:c r="F35" s="90" t="s">
        <x:v>74</x:v>
      </x:c>
      <x:c r="G35" s="91" t="s">
        <x:v>237</x:v>
      </x:c>
      <x:c r="H35" s="91" t="s">
        <x:v>1396</x:v>
      </x:c>
      <x:c r="I35" s="91" t="s">
        <x:v>375</x:v>
      </x:c>
      <x:c r="J35" s="91" t="s">
        <x:v>1397</x:v>
      </x:c>
      <x:c r="K35" s="91" t="s">
        <x:v>234</x:v>
      </x:c>
      <x:c r="L35" s="91" t="s">
        <x:v>1398</x:v>
      </x:c>
      <x:c r="M35" s="91" t="s">
        <x:v>1399</x:v>
      </x:c>
      <x:c r="N35" s="91" t="s">
        <x:v>1400</x:v>
      </x:c>
      <x:c r="O35" s="91" t="s">
        <x:v>376</x:v>
      </x:c>
    </x:row>
    <x:row r="36" ht="100" hidden="1" customHeight="1">
      <x:c r="A36" s="87" t="s">
        <x:v>377</x:v>
      </x:c>
      <x:c r="B36" s="87" t="s">
        <x:v>378</x:v>
      </x:c>
      <x:c r="C36" s="87" t="s">
        <x:v>1401</x:v>
      </x:c>
      <x:c r="D36" s="88" t="s">
        <x:v>69</x:v>
      </x:c>
      <x:c r="E36" s="89" t="s">
        <x:v>230</x:v>
      </x:c>
      <x:c r="F36" s="90" t="s">
        <x:v>74</x:v>
      </x:c>
      <x:c r="G36" s="87" t="s">
        <x:v>237</x:v>
      </x:c>
      <x:c r="H36" s="87" t="s">
        <x:v>1402</x:v>
      </x:c>
      <x:c r="I36" s="87" t="s">
        <x:v>379</x:v>
      </x:c>
      <x:c r="J36" s="87" t="s">
        <x:v>1403</x:v>
      </x:c>
      <x:c r="K36" s="87" t="s">
        <x:v>381</x:v>
      </x:c>
      <x:c r="L36" s="87" t="s">
        <x:v>1404</x:v>
      </x:c>
      <x:c r="M36" s="87" t="s">
        <x:v>1405</x:v>
      </x:c>
      <x:c r="N36" s="87" t="s">
        <x:v>1406</x:v>
      </x:c>
      <x:c r="O36" s="87" t="s">
        <x:v>382</x:v>
      </x:c>
    </x:row>
    <x:row r="37" ht="75" hidden="1" customHeight="1">
      <x:c r="A37" s="91" t="s">
        <x:v>383</x:v>
      </x:c>
      <x:c r="B37" s="91" t="s">
        <x:v>384</x:v>
      </x:c>
      <x:c r="C37" s="91" t="s">
        <x:v>1407</x:v>
      </x:c>
      <x:c r="D37" s="88" t="s">
        <x:v>69</x:v>
      </x:c>
      <x:c r="E37" s="89" t="s">
        <x:v>230</x:v>
      </x:c>
      <x:c r="F37" s="90" t="s">
        <x:v>74</x:v>
      </x:c>
      <x:c r="G37" s="91" t="s">
        <x:v>237</x:v>
      </x:c>
      <x:c r="H37" s="91" t="s">
        <x:v>1408</x:v>
      </x:c>
      <x:c r="I37" s="91" t="s">
        <x:v>385</x:v>
      </x:c>
      <x:c r="J37" s="91" t="s">
        <x:v>1409</x:v>
      </x:c>
      <x:c r="K37" s="91" t="s">
        <x:v>386</x:v>
      </x:c>
      <x:c r="L37" s="91" t="s">
        <x:v>1410</x:v>
      </x:c>
      <x:c r="M37" s="91" t="s">
        <x:v>1411</x:v>
      </x:c>
      <x:c r="N37" s="91" t="s">
        <x:v>1412</x:v>
      </x:c>
      <x:c r="O37" s="91" t="s">
        <x:v>387</x:v>
      </x:c>
    </x:row>
    <x:row r="38" ht="50.04999923706055" hidden="1" customHeight="1">
      <x:c r="A38" s="87" t="s">
        <x:v>388</x:v>
      </x:c>
      <x:c r="B38" s="87" t="s">
        <x:v>389</x:v>
      </x:c>
      <x:c r="C38" s="87" t="s">
        <x:v>1413</x:v>
      </x:c>
      <x:c r="D38" s="88" t="s">
        <x:v>69</x:v>
      </x:c>
      <x:c r="E38" s="89" t="s">
        <x:v>230</x:v>
      </x:c>
      <x:c r="F38" s="90" t="s">
        <x:v>74</x:v>
      </x:c>
      <x:c r="G38" s="87" t="s">
        <x:v>237</x:v>
      </x:c>
      <x:c r="H38" s="87" t="s">
        <x:v>1414</x:v>
      </x:c>
      <x:c r="I38" s="87" t="s">
        <x:v>390</x:v>
      </x:c>
      <x:c r="J38" s="87" t="s">
        <x:v>1415</x:v>
      </x:c>
      <x:c r="K38" s="87" t="s">
        <x:v>234</x:v>
      </x:c>
      <x:c r="L38" s="87" t="s">
        <x:v>1416</x:v>
      </x:c>
      <x:c r="M38" s="87" t="s">
        <x:v>1417</x:v>
      </x:c>
      <x:c r="N38" s="87" t="s">
        <x:v>1418</x:v>
      </x:c>
      <x:c r="O38" s="87" t="s">
        <x:v>391</x:v>
      </x:c>
    </x:row>
    <x:row r="39" ht="62.5" hidden="1" customHeight="1">
      <x:c r="A39" s="91" t="s">
        <x:v>392</x:v>
      </x:c>
      <x:c r="B39" s="91" t="s">
        <x:v>393</x:v>
      </x:c>
      <x:c r="C39" s="91" t="s">
        <x:v>1419</x:v>
      </x:c>
      <x:c r="D39" s="88" t="s">
        <x:v>69</x:v>
      </x:c>
      <x:c r="E39" s="89" t="s">
        <x:v>230</x:v>
      </x:c>
      <x:c r="F39" s="90" t="s">
        <x:v>74</x:v>
      </x:c>
      <x:c r="G39" s="91" t="s">
        <x:v>231</x:v>
      </x:c>
      <x:c r="H39" s="91" t="s">
        <x:v>1420</x:v>
      </x:c>
      <x:c r="I39" s="91" t="s">
        <x:v>394</x:v>
      </x:c>
      <x:c r="J39" s="91" t="s">
        <x:v>1421</x:v>
      </x:c>
      <x:c r="K39" s="91" t="s">
        <x:v>238</x:v>
      </x:c>
      <x:c r="L39" s="91" t="s">
        <x:v>1422</x:v>
      </x:c>
      <x:c r="M39" s="91" t="s">
        <x:v>1423</x:v>
      </x:c>
      <x:c r="N39" s="91" t="s">
        <x:v>1424</x:v>
      </x:c>
      <x:c r="O39" s="91" t="s">
        <x:v>395</x:v>
      </x:c>
    </x:row>
    <x:row r="40" ht="40" customHeight="1">
      <x:c r="A40" s="99" t="s">
        <x:v>396</x:v>
      </x:c>
      <x:c r="B40" s="99" t="s">
        <x:v>397</x:v>
      </x:c>
      <x:c r="C40" s="99" t="s">
        <x:v>1425</x:v>
      </x:c>
      <x:c r="D40" s="97" t="s">
        <x:v>77</x:v>
      </x:c>
      <x:c r="E40" s="89" t="s">
        <x:v>230</x:v>
      </x:c>
      <x:c r="F40" s="98" t="s">
        <x:v>74</x:v>
      </x:c>
      <x:c r="G40" s="99" t="s">
        <x:v>237</x:v>
      </x:c>
      <x:c r="H40" s="99" t="s">
        <x:v>1426</x:v>
      </x:c>
      <x:c r="I40" s="99" t="s">
        <x:v>399</x:v>
      </x:c>
      <x:c r="J40" s="99" t="s">
        <x:v>1427</x:v>
      </x:c>
      <x:c r="K40" s="99" t="s">
        <x:v>234</x:v>
      </x:c>
      <x:c r="L40" s="99" t="s">
        <x:v>1428</x:v>
      </x:c>
      <x:c r="M40" s="99" t="s">
        <x:v>1429</x:v>
      </x:c>
      <x:c r="N40" s="99" t="s">
        <x:v>1430</x:v>
      </x:c>
      <x:c r="O40" s="99" t="s">
        <x:v>310</x:v>
      </x:c>
    </x:row>
    <x:row r="41" ht="87.55000305175781" hidden="1" customHeight="1">
      <x:c r="A41" s="91" t="s">
        <x:v>401</x:v>
      </x:c>
      <x:c r="B41" s="91" t="s">
        <x:v>402</x:v>
      </x:c>
      <x:c r="C41" s="91" t="s">
        <x:v>1431</x:v>
      </x:c>
      <x:c r="D41" s="88" t="s">
        <x:v>69</x:v>
      </x:c>
      <x:c r="E41" s="89" t="s">
        <x:v>230</x:v>
      </x:c>
      <x:c r="F41" s="90" t="s">
        <x:v>74</x:v>
      </x:c>
      <x:c r="G41" s="91" t="s">
        <x:v>237</x:v>
      </x:c>
      <x:c r="H41" s="91" t="s">
        <x:v>1432</x:v>
      </x:c>
      <x:c r="I41" s="91" t="s">
        <x:v>403</x:v>
      </x:c>
      <x:c r="J41" s="91" t="s">
        <x:v>1433</x:v>
      </x:c>
      <x:c r="K41" s="91" t="s">
        <x:v>405</x:v>
      </x:c>
      <x:c r="L41" s="91" t="s">
        <x:v>1434</x:v>
      </x:c>
      <x:c r="M41" s="91" t="s">
        <x:v>1435</x:v>
      </x:c>
      <x:c r="N41" s="91" t="s">
        <x:v>1436</x:v>
      </x:c>
      <x:c r="O41" s="91" t="s">
        <x:v>406</x:v>
      </x:c>
    </x:row>
    <x:row r="42" ht="37.5" hidden="1" customHeight="1">
      <x:c r="A42" s="87" t="s">
        <x:v>407</x:v>
      </x:c>
      <x:c r="B42" s="87" t="s">
        <x:v>408</x:v>
      </x:c>
      <x:c r="C42" s="87" t="s">
        <x:v>1437</x:v>
      </x:c>
      <x:c r="D42" s="88" t="s">
        <x:v>69</x:v>
      </x:c>
      <x:c r="E42" s="89" t="s">
        <x:v>230</x:v>
      </x:c>
      <x:c r="F42" s="90" t="s">
        <x:v>74</x:v>
      </x:c>
      <x:c r="G42" s="87" t="s">
        <x:v>237</x:v>
      </x:c>
      <x:c r="H42" s="87" t="s">
        <x:v>1438</x:v>
      </x:c>
      <x:c r="I42" s="87" t="s">
        <x:v>409</x:v>
      </x:c>
      <x:c r="J42" s="87" t="s">
        <x:v>1439</x:v>
      </x:c>
      <x:c r="K42" s="87" t="s">
        <x:v>410</x:v>
      </x:c>
      <x:c r="L42" s="87" t="s">
        <x:v>1440</x:v>
      </x:c>
      <x:c r="M42" s="87" t="s">
        <x:v>1441</x:v>
      </x:c>
      <x:c r="N42" s="87" t="s">
        <x:v>1442</x:v>
      </x:c>
      <x:c r="O42" s="87" t="s">
        <x:v>1443</x:v>
      </x:c>
    </x:row>
    <x:row r="43" ht="62.5" hidden="1" customHeight="1">
      <x:c r="A43" s="91" t="s">
        <x:v>412</x:v>
      </x:c>
      <x:c r="B43" s="91" t="s">
        <x:v>413</x:v>
      </x:c>
      <x:c r="C43" s="91" t="s">
        <x:v>1444</x:v>
      </x:c>
      <x:c r="D43" s="88" t="s">
        <x:v>69</x:v>
      </x:c>
      <x:c r="E43" s="89" t="s">
        <x:v>230</x:v>
      </x:c>
      <x:c r="F43" s="90" t="s">
        <x:v>74</x:v>
      </x:c>
      <x:c r="G43" s="91" t="s">
        <x:v>237</x:v>
      </x:c>
      <x:c r="H43" s="91" t="s">
        <x:v>1445</x:v>
      </x:c>
      <x:c r="I43" s="91" t="s">
        <x:v>414</x:v>
      </x:c>
      <x:c r="J43" s="91" t="s">
        <x:v>1446</x:v>
      </x:c>
      <x:c r="K43" s="91" t="s">
        <x:v>416</x:v>
      </x:c>
      <x:c r="L43" s="91" t="s">
        <x:v>1447</x:v>
      </x:c>
      <x:c r="M43" s="91" t="s">
        <x:v>1448</x:v>
      </x:c>
      <x:c r="N43" s="91" t="s">
        <x:v>1449</x:v>
      </x:c>
      <x:c r="O43" s="91" t="s">
        <x:v>1450</x:v>
      </x:c>
    </x:row>
    <x:row r="44" ht="50.04999923706055" hidden="1" customHeight="1">
      <x:c r="A44" s="87" t="s">
        <x:v>418</x:v>
      </x:c>
      <x:c r="B44" s="87" t="s">
        <x:v>419</x:v>
      </x:c>
      <x:c r="C44" s="87" t="s">
        <x:v>1451</x:v>
      </x:c>
      <x:c r="D44" s="88" t="s">
        <x:v>69</x:v>
      </x:c>
      <x:c r="E44" s="89" t="s">
        <x:v>230</x:v>
      </x:c>
      <x:c r="F44" s="90" t="s">
        <x:v>74</x:v>
      </x:c>
      <x:c r="G44" s="87" t="s">
        <x:v>237</x:v>
      </x:c>
      <x:c r="H44" s="87" t="s">
        <x:v>1452</x:v>
      </x:c>
      <x:c r="I44" s="87" t="s">
        <x:v>420</x:v>
      </x:c>
      <x:c r="J44" s="87" t="s">
        <x:v>1453</x:v>
      </x:c>
      <x:c r="K44" s="87" t="s">
        <x:v>234</x:v>
      </x:c>
      <x:c r="L44" s="87" t="s">
        <x:v>1454</x:v>
      </x:c>
      <x:c r="M44" s="87" t="s">
        <x:v>1455</x:v>
      </x:c>
      <x:c r="N44" s="87" t="s">
        <x:v>1456</x:v>
      </x:c>
      <x:c r="O44" s="87" t="s">
        <x:v>421</x:v>
      </x:c>
    </x:row>
    <x:row r="45" ht="50.04999923706055" hidden="1" customHeight="1">
      <x:c r="A45" s="91" t="s">
        <x:v>422</x:v>
      </x:c>
      <x:c r="B45" s="91" t="s">
        <x:v>423</x:v>
      </x:c>
      <x:c r="C45" s="91" t="s">
        <x:v>1457</x:v>
      </x:c>
      <x:c r="D45" s="88" t="s">
        <x:v>69</x:v>
      </x:c>
      <x:c r="E45" s="89" t="s">
        <x:v>230</x:v>
      </x:c>
      <x:c r="F45" s="94" t="s">
        <x:v>83</x:v>
      </x:c>
      <x:c r="G45" s="91" t="s">
        <x:v>231</x:v>
      </x:c>
      <x:c r="H45" s="91" t="s">
        <x:v>1458</x:v>
      </x:c>
      <x:c r="I45" s="91" t="s">
        <x:v>424</x:v>
      </x:c>
      <x:c r="J45" s="91" t="s">
        <x:v>1459</x:v>
      </x:c>
      <x:c r="K45" s="91" t="s">
        <x:v>251</x:v>
      </x:c>
      <x:c r="L45" s="91" t="s">
        <x:v>1460</x:v>
      </x:c>
      <x:c r="M45" s="91" t="s">
        <x:v>1461</x:v>
      </x:c>
      <x:c r="N45" s="91" t="s">
        <x:v>1462</x:v>
      </x:c>
      <x:c r="O45" s="91" t="s">
        <x:v>425</x:v>
      </x:c>
    </x:row>
    <x:row r="46" ht="37.5" hidden="1" customHeight="1">
      <x:c r="A46" s="87" t="s">
        <x:v>426</x:v>
      </x:c>
      <x:c r="B46" s="87" t="s">
        <x:v>427</x:v>
      </x:c>
      <x:c r="C46" s="87" t="s">
        <x:v>1463</x:v>
      </x:c>
      <x:c r="D46" s="88" t="s">
        <x:v>69</x:v>
      </x:c>
      <x:c r="E46" s="89" t="s">
        <x:v>230</x:v>
      </x:c>
      <x:c r="F46" s="94" t="s">
        <x:v>83</x:v>
      </x:c>
      <x:c r="G46" s="87" t="s">
        <x:v>231</x:v>
      </x:c>
      <x:c r="H46" s="87" t="s">
        <x:v>1464</x:v>
      </x:c>
      <x:c r="I46" s="87" t="s">
        <x:v>428</x:v>
      </x:c>
      <x:c r="J46" s="87" t="s">
        <x:v>1201</x:v>
      </x:c>
      <x:c r="K46" s="87" t="s">
        <x:v>238</x:v>
      </x:c>
      <x:c r="L46" s="87" t="s">
        <x:v>1465</x:v>
      </x:c>
      <x:c r="M46" s="87" t="s">
        <x:v>1318</x:v>
      </x:c>
      <x:c r="N46" s="87" t="s">
        <x:v>1466</x:v>
      </x:c>
      <x:c r="O46" s="87" t="s">
        <x:v>429</x:v>
      </x:c>
    </x:row>
    <x:row r="47" ht="50.04999923706055" hidden="1" customHeight="1">
      <x:c r="A47" s="91" t="s">
        <x:v>430</x:v>
      </x:c>
      <x:c r="B47" s="91" t="s">
        <x:v>431</x:v>
      </x:c>
      <x:c r="C47" s="91" t="s">
        <x:v>1467</x:v>
      </x:c>
      <x:c r="D47" s="88" t="s">
        <x:v>69</x:v>
      </x:c>
      <x:c r="E47" s="89" t="s">
        <x:v>230</x:v>
      </x:c>
      <x:c r="F47" s="90" t="s">
        <x:v>74</x:v>
      </x:c>
      <x:c r="G47" s="91" t="s">
        <x:v>237</x:v>
      </x:c>
      <x:c r="H47" s="91" t="s">
        <x:v>1468</x:v>
      </x:c>
      <x:c r="I47" s="91" t="s">
        <x:v>432</x:v>
      </x:c>
      <x:c r="J47" s="91" t="s">
        <x:v>1469</x:v>
      </x:c>
      <x:c r="K47" s="91" t="s">
        <x:v>349</x:v>
      </x:c>
      <x:c r="L47" s="91" t="s">
        <x:v>1470</x:v>
      </x:c>
      <x:c r="M47" s="91" t="s">
        <x:v>1471</x:v>
      </x:c>
      <x:c r="N47" s="91" t="s">
        <x:v>1472</x:v>
      </x:c>
      <x:c r="O47" s="91" t="s">
        <x:v>1473</x:v>
      </x:c>
    </x:row>
    <x:row r="48" ht="62.5" hidden="1" customHeight="1">
      <x:c r="A48" s="87" t="s">
        <x:v>435</x:v>
      </x:c>
      <x:c r="B48" s="87" t="s">
        <x:v>436</x:v>
      </x:c>
      <x:c r="C48" s="87" t="s">
        <x:v>1474</x:v>
      </x:c>
      <x:c r="D48" s="88" t="s">
        <x:v>69</x:v>
      </x:c>
      <x:c r="E48" s="89" t="s">
        <x:v>230</x:v>
      </x:c>
      <x:c r="F48" s="90" t="s">
        <x:v>74</x:v>
      </x:c>
      <x:c r="G48" s="87" t="s">
        <x:v>237</x:v>
      </x:c>
      <x:c r="H48" s="87" t="s">
        <x:v>1475</x:v>
      </x:c>
      <x:c r="I48" s="87" t="s">
        <x:v>437</x:v>
      </x:c>
      <x:c r="J48" s="87" t="s">
        <x:v>1476</x:v>
      </x:c>
      <x:c r="K48" s="87" t="s">
        <x:v>438</x:v>
      </x:c>
      <x:c r="L48" s="87" t="s">
        <x:v>1477</x:v>
      </x:c>
      <x:c r="M48" s="87" t="s">
        <x:v>1478</x:v>
      </x:c>
      <x:c r="N48" s="87" t="s">
        <x:v>1479</x:v>
      </x:c>
      <x:c r="O48" s="87" t="s">
        <x:v>1480</x:v>
      </x:c>
    </x:row>
    <x:row r="49" ht="76" customHeight="1">
      <x:c r="A49" s="91" t="s">
        <x:v>440</x:v>
      </x:c>
      <x:c r="B49" s="91" t="s">
        <x:v>441</x:v>
      </x:c>
      <x:c r="C49" s="91" t="s">
        <x:v>1481</x:v>
      </x:c>
      <x:c r="D49" s="92" t="s">
        <x:v>77</x:v>
      </x:c>
      <x:c r="E49" s="89" t="s">
        <x:v>230</x:v>
      </x:c>
      <x:c r="F49" s="90" t="s">
        <x:v>74</x:v>
      </x:c>
      <x:c r="G49" s="91" t="s">
        <x:v>237</x:v>
      </x:c>
      <x:c r="H49" s="91" t="s">
        <x:v>1482</x:v>
      </x:c>
      <x:c r="I49" s="91" t="s">
        <x:v>442</x:v>
      </x:c>
      <x:c r="J49" s="91" t="s">
        <x:v>1483</x:v>
      </x:c>
      <x:c r="K49" s="91" t="s">
        <x:v>444</x:v>
      </x:c>
      <x:c r="L49" s="91" t="s">
        <x:v>1484</x:v>
      </x:c>
      <x:c r="M49" s="91" t="s">
        <x:v>1485</x:v>
      </x:c>
      <x:c r="N49" s="91" t="s">
        <x:v>1486</x:v>
      </x:c>
      <x:c r="O49" s="91" t="s">
        <x:v>445</x:v>
      </x:c>
    </x:row>
    <x:row r="50" ht="64" customHeight="1">
      <x:c r="A50" s="87" t="s">
        <x:v>446</x:v>
      </x:c>
      <x:c r="B50" s="87" t="s">
        <x:v>447</x:v>
      </x:c>
      <x:c r="C50" s="87" t="s">
        <x:v>1487</x:v>
      </x:c>
      <x:c r="D50" s="92" t="s">
        <x:v>77</x:v>
      </x:c>
      <x:c r="E50" s="89" t="s">
        <x:v>230</x:v>
      </x:c>
      <x:c r="F50" s="90" t="s">
        <x:v>74</x:v>
      </x:c>
      <x:c r="G50" s="87" t="s">
        <x:v>237</x:v>
      </x:c>
      <x:c r="H50" s="87" t="s">
        <x:v>1488</x:v>
      </x:c>
      <x:c r="I50" s="87" t="s">
        <x:v>448</x:v>
      </x:c>
      <x:c r="J50" s="87" t="s">
        <x:v>1489</x:v>
      </x:c>
      <x:c r="K50" s="87" t="s">
        <x:v>449</x:v>
      </x:c>
      <x:c r="L50" s="87" t="s">
        <x:v>1490</x:v>
      </x:c>
      <x:c r="M50" s="87" t="s">
        <x:v>1491</x:v>
      </x:c>
      <x:c r="N50" s="87" t="s">
        <x:v>1492</x:v>
      </x:c>
      <x:c r="O50" s="87" t="s">
        <x:v>450</x:v>
      </x:c>
    </x:row>
    <x:row r="51" ht="52" customHeight="1">
      <x:c r="A51" s="91" t="s">
        <x:v>451</x:v>
      </x:c>
      <x:c r="B51" s="91" t="s">
        <x:v>452</x:v>
      </x:c>
      <x:c r="C51" s="91" t="s">
        <x:v>1493</x:v>
      </x:c>
      <x:c r="D51" s="92" t="s">
        <x:v>77</x:v>
      </x:c>
      <x:c r="E51" s="95" t="s">
        <x:v>267</x:v>
      </x:c>
      <x:c r="F51" s="100" t="s">
        <x:v>92</x:v>
      </x:c>
      <x:c r="G51" s="91" t="s">
        <x:v>237</x:v>
      </x:c>
      <x:c r="H51" s="91" t="s">
        <x:v>1494</x:v>
      </x:c>
      <x:c r="I51" s="91" t="s">
        <x:v>453</x:v>
      </x:c>
      <x:c r="J51" s="91" t="s">
        <x:v>1495</x:v>
      </x:c>
      <x:c r="K51" s="91" t="s">
        <x:v>234</x:v>
      </x:c>
      <x:c r="L51" s="91" t="s">
        <x:v>1496</x:v>
      </x:c>
      <x:c r="M51" s="91" t="s">
        <x:v>1497</x:v>
      </x:c>
      <x:c r="N51" s="91" t="s">
        <x:v>1498</x:v>
      </x:c>
      <x:c r="O51" s="91" t="s">
        <x:v>270</x:v>
      </x:c>
    </x:row>
    <x:row r="52" ht="50.04999923706055" hidden="1" customHeight="1">
      <x:c r="A52" s="87" t="s">
        <x:v>454</x:v>
      </x:c>
      <x:c r="B52" s="87" t="s">
        <x:v>455</x:v>
      </x:c>
      <x:c r="C52" s="87" t="s">
        <x:v>1499</x:v>
      </x:c>
      <x:c r="D52" s="88" t="s">
        <x:v>69</x:v>
      </x:c>
      <x:c r="E52" s="89" t="s">
        <x:v>230</x:v>
      </x:c>
      <x:c r="F52" s="94" t="s">
        <x:v>83</x:v>
      </x:c>
      <x:c r="G52" s="87" t="s">
        <x:v>231</x:v>
      </x:c>
      <x:c r="H52" s="87" t="s">
        <x:v>1500</x:v>
      </x:c>
      <x:c r="I52" s="87" t="s">
        <x:v>457</x:v>
      </x:c>
      <x:c r="J52" s="87" t="s">
        <x:v>1201</x:v>
      </x:c>
      <x:c r="K52" s="87" t="s">
        <x:v>234</x:v>
      </x:c>
      <x:c r="L52" s="87" t="s">
        <x:v>1501</x:v>
      </x:c>
      <x:c r="M52" s="87" t="s">
        <x:v>1502</x:v>
      </x:c>
      <x:c r="N52" s="87" t="s">
        <x:v>1503</x:v>
      </x:c>
      <x:c r="O52" s="87" t="s">
        <x:v>459</x:v>
      </x:c>
    </x:row>
    <x:row r="53" ht="150" customHeight="1">
      <x:c r="A53" s="91" t="s">
        <x:v>460</x:v>
      </x:c>
      <x:c r="B53" s="91" t="s">
        <x:v>461</x:v>
      </x:c>
      <x:c r="C53" s="91" t="s">
        <x:v>1504</x:v>
      </x:c>
      <x:c r="D53" s="92" t="s">
        <x:v>77</x:v>
      </x:c>
      <x:c r="E53" s="95" t="s">
        <x:v>267</x:v>
      </x:c>
      <x:c r="F53" s="94" t="s">
        <x:v>83</x:v>
      </x:c>
      <x:c r="G53" s="91" t="s">
        <x:v>231</x:v>
      </x:c>
      <x:c r="H53" s="91" t="s">
        <x:v>1505</x:v>
      </x:c>
      <x:c r="I53" s="91" t="s">
        <x:v>462</x:v>
      </x:c>
      <x:c r="J53" s="91" t="s">
        <x:v>1201</x:v>
      </x:c>
      <x:c r="K53" s="91" t="s">
        <x:v>238</x:v>
      </x:c>
      <x:c r="L53" s="91" t="s">
        <x:v>1506</x:v>
      </x:c>
      <x:c r="M53" s="91" t="s">
        <x:v>1318</x:v>
      </x:c>
      <x:c r="N53" s="91" t="s">
        <x:v>1507</x:v>
      </x:c>
      <x:c r="O53" s="91" t="s">
        <x:v>463</x:v>
      </x:c>
    </x:row>
    <x:row r="54" ht="52" customHeight="1">
      <x:c r="A54" s="87" t="s">
        <x:v>464</x:v>
      </x:c>
      <x:c r="B54" s="87" t="str">
        <x:v>대사 결과 Excel 보고서 출력</x:v>
      </x:c>
      <x:c r="C54" s="87" t="str">
        <x:v>기존 대사 결과 화면에서 조회한 대사 결과를 Excel(.xlsx) 보고서로 내려받을 수 있어야 한다.</x:v>
      </x:c>
      <x:c r="D54" s="92" t="s">
        <x:v>77</x:v>
      </x:c>
      <x:c r="E54" s="138" t="str">
        <x:v>후순위</x:v>
      </x:c>
      <x:c r="F54" s="90" t="s">
        <x:v>74</x:v>
      </x:c>
      <x:c r="G54" s="87" t="s">
        <x:v>231</x:v>
      </x:c>
      <x:c r="H54" s="87" t="str">
        <x:v>RECO-W01/W02의 대사 결과 영역에 [Excel 보고서] 버튼을 둔다. 선택 실행·검증월·지급단계·검색조건과 같은 범위의 대사 결과만 출력한다. 조건·생성일시·생성자·예상액·실제액·차액·일치 여부·합계·상세 및 연결 정책 기준을 포함한다. 서로 다른 지급단계의 금액을 합쳐 표시하지 않는다. 계약자는 계약번호로 식별하고 개인정보는 포함하지 않는다. 독립 RPT-W01 메뉴·페이지, 일반 정산 보고서, PDF 출력은 제외한다. 전체 검색결과/현재 페이지 범위와 상세 열·시트 구성은 출력 샘플로 확정한다.</x:v>
      </x:c>
      <x:c r="I54" s="87" t="str">
        <x:v>FGC-FUN-048,FGC-FUN-049,FGC-FUN-051</x:v>
      </x:c>
      <x:c r="J54" s="87" t="str">
        <x:v>대사 Excel 보고서정의서/출력샘플</x:v>
      </x:c>
      <x:c r="K54" s="87" t="s">
        <x:v>1508</x:v>
      </x:c>
      <x:c r="L54" s="87" t="str">
        <x:v>대사 화면 버튼에서 실제 .xlsx 파일이 내려받아진다. 동일 조건·동일 결과 기준 화면과 보고서의 건수·합계·예상/실제/차액이 일치한다. 접근 권한 밖 데이터와 일반 정산 결과·계약자 개인정보는 포함하지 않는다. 0건·생성 실패를 구분한다.</x:v>
      </x:c>
      <x:c r="M54" s="87" t="str">
        <x:v>대사 결과 조회 후 사용자가 [Excel 보고서]를 누를 때.</x:v>
      </x:c>
      <x:c r="N54" s="87" t="str">
        <x:v>대사 조회·권한·집계 기준을 재사용하여 서버에서 .xlsx를 생성한다. 기존 계약/스케줄 CSV와 구분하며 RPT-W01은 RECO-W01/W02 통합 이력 ID로만 보존한다.</x:v>
      </x:c>
      <x:c r="O54" s="87" t="str">
        <x:v>v3.0 (2026-10-27, 현준 회의 반영): 논의후 진행→후순위(M 유지). 정산·대사 보고서에서 대사 결과만 출력하도록 축소하고 대사 화면에 통합한다. 일반 정산/PDF 출력 제외.</x:v>
      </x:c>
    </x:row>
    <x:row r="55" ht="68" customHeight="1">
      <x:c r="A55" s="91" t="s">
        <x:v>465</x:v>
      </x:c>
      <x:c r="B55" s="91" t="s">
        <x:v>466</x:v>
      </x:c>
      <x:c r="C55" s="91" t="s">
        <x:v>1509</x:v>
      </x:c>
      <x:c r="D55" s="92" t="s">
        <x:v>77</x:v>
      </x:c>
      <x:c r="E55" s="139" t="str">
        <x:v>진행</x:v>
      </x:c>
      <x:c r="F55" s="94" t="s">
        <x:v>83</x:v>
      </x:c>
      <x:c r="G55" s="91" t="s">
        <x:v>237</x:v>
      </x:c>
      <x:c r="H55" s="91" t="s">
        <x:v>1510</x:v>
      </x:c>
      <x:c r="I55" s="91" t="str">
        <x:v>FGC-FUN-036,FGC-FUN-046,FGC-FUN-055,FGC-FUN-085</x:v>
      </x:c>
      <x:c r="J55" s="91" t="s">
        <x:v>1511</x:v>
      </x:c>
      <x:c r="K55" s="91" t="s">
        <x:v>467</x:v>
      </x:c>
      <x:c r="L55" s="91" t="s">
        <x:v>1512</x:v>
      </x:c>
      <x:c r="M55" s="91" t="s">
        <x:v>1318</x:v>
      </x:c>
      <x:c r="N55" s="91" t="s">
        <x:v>1513</x:v>
      </x:c>
      <x:c r="O55" s="91" t="str">
        <x:v>v3.0 (2026-10-27, 현준 최종 회의 반영): 논의후 진행→진행. 본인 수수료 명세와085 본인 범위 유지.</x:v>
      </x:c>
    </x:row>
    <x:row r="56" ht="50.04999923706055" hidden="1" customHeight="1">
      <x:c r="A56" s="87" t="s">
        <x:v>468</x:v>
      </x:c>
      <x:c r="B56" s="87" t="s">
        <x:v>469</x:v>
      </x:c>
      <x:c r="C56" s="87" t="s">
        <x:v>1514</x:v>
      </x:c>
      <x:c r="D56" s="88" t="s">
        <x:v>69</x:v>
      </x:c>
      <x:c r="E56" s="89" t="s">
        <x:v>230</x:v>
      </x:c>
      <x:c r="F56" s="90" t="s">
        <x:v>74</x:v>
      </x:c>
      <x:c r="G56" s="87" t="s">
        <x:v>237</x:v>
      </x:c>
      <x:c r="H56" s="87" t="s">
        <x:v>1515</x:v>
      </x:c>
      <x:c r="I56" s="87" t="s">
        <x:v>471</x:v>
      </x:c>
      <x:c r="J56" s="87" t="s">
        <x:v>1516</x:v>
      </x:c>
      <x:c r="K56" s="87" t="s">
        <x:v>473</x:v>
      </x:c>
      <x:c r="L56" s="87" t="s">
        <x:v>1517</x:v>
      </x:c>
      <x:c r="M56" s="87" t="s">
        <x:v>1518</x:v>
      </x:c>
      <x:c r="N56" s="87" t="s">
        <x:v>1519</x:v>
      </x:c>
      <x:c r="O56" s="87" t="s">
        <x:v>474</x:v>
      </x:c>
    </x:row>
    <x:row r="57" ht="88" customHeight="1">
      <x:c r="A57" s="96" t="s">
        <x:v>475</x:v>
      </x:c>
      <x:c r="B57" s="96" t="s">
        <x:v>476</x:v>
      </x:c>
      <x:c r="C57" s="96" t="s">
        <x:v>1520</x:v>
      </x:c>
      <x:c r="D57" s="97" t="s">
        <x:v>77</x:v>
      </x:c>
      <x:c r="E57" s="93" t="s">
        <x:v>241</x:v>
      </x:c>
      <x:c r="F57" s="98" t="s">
        <x:v>74</x:v>
      </x:c>
      <x:c r="G57" s="96" t="s">
        <x:v>237</x:v>
      </x:c>
      <x:c r="H57" s="96" t="s">
        <x:v>1521</x:v>
      </x:c>
      <x:c r="I57" s="96" t="s">
        <x:v>477</x:v>
      </x:c>
      <x:c r="J57" s="96" t="s">
        <x:v>1522</x:v>
      </x:c>
      <x:c r="K57" s="96" t="s">
        <x:v>479</x:v>
      </x:c>
      <x:c r="L57" s="96" t="s">
        <x:v>1523</x:v>
      </x:c>
      <x:c r="M57" s="96" t="s">
        <x:v>1524</x:v>
      </x:c>
      <x:c r="N57" s="96" t="s">
        <x:v>1525</x:v>
      </x:c>
      <x:c r="O57" s="96" t="s">
        <x:v>480</x:v>
      </x:c>
    </x:row>
    <x:row r="58" ht="87.55000305175781" hidden="1" customHeight="1">
      <x:c r="A58" s="87" t="s">
        <x:v>765</x:v>
      </x:c>
      <x:c r="B58" s="87" t="s">
        <x:v>766</x:v>
      </x:c>
      <x:c r="C58" s="87" t="s">
        <x:v>1526</x:v>
      </x:c>
      <x:c r="D58" s="88" t="s">
        <x:v>69</x:v>
      </x:c>
      <x:c r="E58" s="89" t="s">
        <x:v>230</x:v>
      </x:c>
      <x:c r="F58" s="90" t="s">
        <x:v>74</x:v>
      </x:c>
      <x:c r="G58" s="87" t="s">
        <x:v>237</x:v>
      </x:c>
      <x:c r="H58" s="87" t="s">
        <x:v>1527</x:v>
      </x:c>
      <x:c r="I58" s="87" t="s">
        <x:v>767</x:v>
      </x:c>
      <x:c r="J58" s="87" t="s">
        <x:v>1528</x:v>
      </x:c>
      <x:c r="K58" s="87" t="s">
        <x:v>1529</x:v>
      </x:c>
      <x:c r="L58" s="87" t="s">
        <x:v>1530</x:v>
      </x:c>
      <x:c r="M58" s="87" t="s">
        <x:v>1531</x:v>
      </x:c>
      <x:c r="N58" s="87" t="s">
        <x:v>1532</x:v>
      </x:c>
      <x:c r="O58" s="87" t="s">
        <x:v>1533</x:v>
      </x:c>
    </x:row>
    <x:row r="59" ht="76" customHeight="1">
      <x:c r="A59" s="96" t="s">
        <x:v>770</x:v>
      </x:c>
      <x:c r="B59" s="96" t="s">
        <x:v>771</x:v>
      </x:c>
      <x:c r="C59" s="96" t="s">
        <x:v>1534</x:v>
      </x:c>
      <x:c r="D59" s="97" t="s">
        <x:v>77</x:v>
      </x:c>
      <x:c r="E59" s="95" t="s">
        <x:v>267</x:v>
      </x:c>
      <x:c r="F59" s="98" t="s">
        <x:v>74</x:v>
      </x:c>
      <x:c r="G59" s="96" t="s">
        <x:v>237</x:v>
      </x:c>
      <x:c r="H59" s="96" t="s">
        <x:v>1535</x:v>
      </x:c>
      <x:c r="I59" s="96" t="s">
        <x:v>772</x:v>
      </x:c>
      <x:c r="J59" s="96" t="s">
        <x:v>1536</x:v>
      </x:c>
      <x:c r="K59" s="96" t="s">
        <x:v>773</x:v>
      </x:c>
      <x:c r="L59" s="96" t="s">
        <x:v>1537</x:v>
      </x:c>
      <x:c r="M59" s="96" t="s">
        <x:v>1538</x:v>
      </x:c>
      <x:c r="N59" s="96" t="s">
        <x:v>1539</x:v>
      </x:c>
      <x:c r="O59" s="96" t="s">
        <x:v>270</x:v>
      </x:c>
    </x:row>
    <x:row r="60" ht="87.55000305175781" hidden="1" customHeight="1">
      <x:c r="A60" s="87" t="s">
        <x:v>779</x:v>
      </x:c>
      <x:c r="B60" s="87" t="s">
        <x:v>780</x:v>
      </x:c>
      <x:c r="C60" s="87" t="s">
        <x:v>1540</x:v>
      </x:c>
      <x:c r="D60" s="88" t="s">
        <x:v>69</x:v>
      </x:c>
      <x:c r="E60" s="89" t="s">
        <x:v>230</x:v>
      </x:c>
      <x:c r="F60" s="90" t="s">
        <x:v>74</x:v>
      </x:c>
      <x:c r="G60" s="87" t="s">
        <x:v>231</x:v>
      </x:c>
      <x:c r="H60" s="87" t="s">
        <x:v>1541</x:v>
      </x:c>
      <x:c r="I60" s="87" t="s">
        <x:v>781</x:v>
      </x:c>
      <x:c r="J60" s="87" t="s">
        <x:v>1298</x:v>
      </x:c>
      <x:c r="K60" s="87" t="s">
        <x:v>783</x:v>
      </x:c>
      <x:c r="L60" s="87" t="s">
        <x:v>1542</x:v>
      </x:c>
      <x:c r="M60" s="87" t="s">
        <x:v>1543</x:v>
      </x:c>
      <x:c r="N60" s="87" t="s">
        <x:v>1544</x:v>
      </x:c>
      <x:c r="O60" s="87" t="s">
        <x:v>784</x:v>
      </x:c>
    </x:row>
    <x:row r="61" ht="220" customHeight="1">
      <x:c r="A61" s="91" t="s">
        <x:v>789</x:v>
      </x:c>
      <x:c r="B61" s="91" t="s">
        <x:v>790</x:v>
      </x:c>
      <x:c r="C61" s="91" t="s">
        <x:v>1545</x:v>
      </x:c>
      <x:c r="D61" s="92" t="s">
        <x:v>77</x:v>
      </x:c>
      <x:c r="E61" s="95" t="s">
        <x:v>267</x:v>
      </x:c>
      <x:c r="F61" s="90" t="s">
        <x:v>74</x:v>
      </x:c>
      <x:c r="G61" s="91" t="s">
        <x:v>237</x:v>
      </x:c>
      <x:c r="H61" s="91" t="s">
        <x:v>1546</x:v>
      </x:c>
      <x:c r="I61" s="91" t="s">
        <x:v>792</x:v>
      </x:c>
      <x:c r="J61" s="91" t="s">
        <x:v>1298</x:v>
      </x:c>
      <x:c r="K61" s="91" t="s">
        <x:v>794</x:v>
      </x:c>
      <x:c r="L61" s="91" t="s">
        <x:v>1547</x:v>
      </x:c>
      <x:c r="M61" s="91" t="s">
        <x:v>1548</x:v>
      </x:c>
      <x:c r="N61" s="91" t="s">
        <x:v>1549</x:v>
      </x:c>
      <x:c r="O61" s="91" t="s">
        <x:v>270</x:v>
      </x:c>
    </x:row>
    <x:row r="62" ht="208" customHeight="1">
      <x:c r="A62" s="87" t="s">
        <x:v>795</x:v>
      </x:c>
      <x:c r="B62" s="87" t="s">
        <x:v>796</x:v>
      </x:c>
      <x:c r="C62" s="87" t="s">
        <x:v>1550</x:v>
      </x:c>
      <x:c r="D62" s="92" t="s">
        <x:v>77</x:v>
      </x:c>
      <x:c r="E62" s="95" t="s">
        <x:v>267</x:v>
      </x:c>
      <x:c r="F62" s="90" t="s">
        <x:v>74</x:v>
      </x:c>
      <x:c r="G62" s="87" t="s">
        <x:v>237</x:v>
      </x:c>
      <x:c r="H62" s="87" t="s">
        <x:v>1551</x:v>
      </x:c>
      <x:c r="I62" s="87" t="s">
        <x:v>797</x:v>
      </x:c>
      <x:c r="J62" s="87" t="s">
        <x:v>1298</x:v>
      </x:c>
      <x:c r="K62" s="87" t="s">
        <x:v>798</x:v>
      </x:c>
      <x:c r="L62" s="87" t="s">
        <x:v>1552</x:v>
      </x:c>
      <x:c r="M62" s="87" t="s">
        <x:v>1553</x:v>
      </x:c>
      <x:c r="N62" s="87" t="s">
        <x:v>1554</x:v>
      </x:c>
      <x:c r="O62" s="87" t="s">
        <x:v>270</x:v>
      </x:c>
    </x:row>
    <x:row r="63" ht="409.5" customHeight="1">
      <x:c r="A63" s="91" t="s">
        <x:v>799</x:v>
      </x:c>
      <x:c r="B63" s="91" t="s">
        <x:v>800</x:v>
      </x:c>
      <x:c r="C63" s="91" t="s">
        <x:v>1555</x:v>
      </x:c>
      <x:c r="D63" s="92" t="s">
        <x:v>77</x:v>
      </x:c>
      <x:c r="E63" s="95" t="s">
        <x:v>267</x:v>
      </x:c>
      <x:c r="F63" s="90" t="s">
        <x:v>74</x:v>
      </x:c>
      <x:c r="G63" s="91" t="s">
        <x:v>237</x:v>
      </x:c>
      <x:c r="H63" s="91" t="s">
        <x:v>1556</x:v>
      </x:c>
      <x:c r="I63" s="91" t="s">
        <x:v>801</x:v>
      </x:c>
      <x:c r="J63" s="91" t="s">
        <x:v>1298</x:v>
      </x:c>
      <x:c r="K63" s="91" t="s">
        <x:v>802</x:v>
      </x:c>
      <x:c r="L63" s="91" t="s">
        <x:v>1557</x:v>
      </x:c>
      <x:c r="M63" s="91" t="s">
        <x:v>1558</x:v>
      </x:c>
      <x:c r="N63" s="91" t="s">
        <x:v>1559</x:v>
      </x:c>
      <x:c r="O63" s="91" t="s">
        <x:v>270</x:v>
      </x:c>
    </x:row>
    <x:row r="64" ht="244" customHeight="1">
      <x:c r="A64" s="87" t="s">
        <x:v>803</x:v>
      </x:c>
      <x:c r="B64" s="87" t="s">
        <x:v>804</x:v>
      </x:c>
      <x:c r="C64" s="87" t="s">
        <x:v>1560</x:v>
      </x:c>
      <x:c r="D64" s="92" t="s">
        <x:v>77</x:v>
      </x:c>
      <x:c r="E64" s="95" t="s">
        <x:v>267</x:v>
      </x:c>
      <x:c r="F64" s="90" t="s">
        <x:v>74</x:v>
      </x:c>
      <x:c r="G64" s="87" t="s">
        <x:v>237</x:v>
      </x:c>
      <x:c r="H64" s="87" t="s">
        <x:v>1561</x:v>
      </x:c>
      <x:c r="I64" s="87" t="s">
        <x:v>805</x:v>
      </x:c>
      <x:c r="J64" s="87" t="s">
        <x:v>1201</x:v>
      </x:c>
      <x:c r="K64" s="87" t="s">
        <x:v>806</x:v>
      </x:c>
      <x:c r="L64" s="87" t="s">
        <x:v>1562</x:v>
      </x:c>
      <x:c r="M64" s="87" t="s">
        <x:v>1563</x:v>
      </x:c>
      <x:c r="N64" s="87" t="s">
        <x:v>1564</x:v>
      </x:c>
      <x:c r="O64" s="87" t="s">
        <x:v>270</x:v>
      </x:c>
    </x:row>
    <x:row r="65" ht="100" customHeight="1">
      <x:c r="A65" s="91" t="s">
        <x:v>807</x:v>
      </x:c>
      <x:c r="B65" s="91" t="s">
        <x:v>808</x:v>
      </x:c>
      <x:c r="C65" s="91" t="s">
        <x:v>1565</x:v>
      </x:c>
      <x:c r="D65" s="92" t="s">
        <x:v>77</x:v>
      </x:c>
      <x:c r="E65" s="95" t="s">
        <x:v>267</x:v>
      </x:c>
      <x:c r="F65" s="94" t="s">
        <x:v>83</x:v>
      </x:c>
      <x:c r="G65" s="91" t="s">
        <x:v>237</x:v>
      </x:c>
      <x:c r="H65" s="91" t="s">
        <x:v>1566</x:v>
      </x:c>
      <x:c r="I65" s="91" t="s">
        <x:v>809</x:v>
      </x:c>
      <x:c r="J65" s="91" t="s">
        <x:v>1567</x:v>
      </x:c>
      <x:c r="K65" s="91" t="s">
        <x:v>810</x:v>
      </x:c>
      <x:c r="L65" s="91" t="s">
        <x:v>1568</x:v>
      </x:c>
      <x:c r="M65" s="91" t="s">
        <x:v>1569</x:v>
      </x:c>
      <x:c r="N65" s="91" t="s">
        <x:v>1570</x:v>
      </x:c>
      <x:c r="O65" s="91" t="s">
        <x:v>270</x:v>
      </x:c>
    </x:row>
    <x:row r="66" ht="100" customHeight="1">
      <x:c r="A66" s="87" t="s">
        <x:v>811</x:v>
      </x:c>
      <x:c r="B66" s="87" t="s">
        <x:v>812</x:v>
      </x:c>
      <x:c r="C66" s="87" t="s">
        <x:v>1571</x:v>
      </x:c>
      <x:c r="D66" s="92" t="s">
        <x:v>77</x:v>
      </x:c>
      <x:c r="E66" s="95" t="s">
        <x:v>267</x:v>
      </x:c>
      <x:c r="F66" s="94" t="s">
        <x:v>83</x:v>
      </x:c>
      <x:c r="G66" s="87" t="s">
        <x:v>231</x:v>
      </x:c>
      <x:c r="H66" s="87" t="s">
        <x:v>1572</x:v>
      </x:c>
      <x:c r="I66" s="87" t="s">
        <x:v>813</x:v>
      </x:c>
      <x:c r="J66" s="87" t="s">
        <x:v>1201</x:v>
      </x:c>
      <x:c r="K66" s="87" t="s">
        <x:v>814</x:v>
      </x:c>
      <x:c r="L66" s="87" t="s">
        <x:v>1573</x:v>
      </x:c>
      <x:c r="M66" s="87" t="s">
        <x:v>1574</x:v>
      </x:c>
      <x:c r="N66" s="87" t="s">
        <x:v>1575</x:v>
      </x:c>
      <x:c r="O66" s="87" t="s">
        <x:v>270</x:v>
      </x:c>
    </x:row>
    <x:row r="67" ht="88" customHeight="1">
      <x:c r="A67" s="91" t="s">
        <x:v>815</x:v>
      </x:c>
      <x:c r="B67" s="91" t="s">
        <x:v>816</x:v>
      </x:c>
      <x:c r="C67" s="91" t="s">
        <x:v>1576</x:v>
      </x:c>
      <x:c r="D67" s="92" t="s">
        <x:v>77</x:v>
      </x:c>
      <x:c r="E67" s="95" t="s">
        <x:v>267</x:v>
      </x:c>
      <x:c r="F67" s="94" t="s">
        <x:v>83</x:v>
      </x:c>
      <x:c r="G67" s="91" t="s">
        <x:v>231</x:v>
      </x:c>
      <x:c r="H67" s="91" t="s">
        <x:v>1577</x:v>
      </x:c>
      <x:c r="I67" s="91" t="s">
        <x:v>817</x:v>
      </x:c>
      <x:c r="J67" s="91" t="s">
        <x:v>1578</x:v>
      </x:c>
      <x:c r="K67" s="91" t="s">
        <x:v>819</x:v>
      </x:c>
      <x:c r="L67" s="91" t="s">
        <x:v>1579</x:v>
      </x:c>
      <x:c r="M67" s="91" t="s">
        <x:v>1580</x:v>
      </x:c>
      <x:c r="N67" s="91" t="s">
        <x:v>1581</x:v>
      </x:c>
      <x:c r="O67" s="91" t="s">
        <x:v>270</x:v>
      </x:c>
    </x:row>
    <x:row r="68" ht="338" customHeight="1">
      <x:c r="A68" s="87" t="s">
        <x:v>820</x:v>
      </x:c>
      <x:c r="B68" s="87" t="str">
        <x:v>AI 업무 질의응답 및 맥락형 가이드 안내</x:v>
      </x:c>
      <x:c r="C68" s="87" t="str">
        <x:v>내부 업무 담당자가 현재 화면과 선택 대상에 관해 질문하면 실제 AI가 승인된 FGC 업무 지식을 근거로 답하고, 권한·최신 상태에 맞는 등록된 업무 가이드와 시작 단계를 안내해야 한다.</x:v>
      </x:c>
      <x:c r="D68" s="92" t="s">
        <x:v>77</x:v>
      </x:c>
      <x:c r="E68" s="139" t="str">
        <x:v>진행</x:v>
      </x:c>
      <x:c r="F68" s="90" t="s">
        <x:v>74</x:v>
      </x:c>
      <x:c r="G68" s="87" t="s">
        <x:v>237</x:v>
      </x:c>
      <x:c r="H68" s="87" t="str">
        <x:v>FGC의 화면 사용법·업무 절차·용어·권한·오류와 현재 업무 맥락에 대한 자유 질문을 지원한다. SYSTEM_ADMIN·GA_ADMIN·SETTLEMENT·COMPLIANCE만 사용하며 조회 역할은 조회 안내만 받는다. AGENT에는 제공하지 않는다. 승인된 현재 가이드의 업무 설명·동의어·질문 예시·시작 조건·단계·분기·오류·버전을 검색한다. 업무 후보를 먼저 좁힌 뒤 해당 업무의 단계 근거를 검색하며, 부족한 정보는 재질문하고 프로젝트 밖 질문은 지원 범위를 안내한다. AI는 ANSWER_ONLY/START_GUIDE/ASK_CLARIFICATION/UNSUPPORTED와 등록된 workflowId·suggestedStepId·근거 ID만 제안한다. 서버가 인증·허용 업무·선택 대상·최신 저장 상태·근거/화면 버전을 검증하고 실제 시작 단계를 정한다. 화면 주소·대상 블록·스크립트를 AI가 생성하지 않으며 승인된 화면/targetId 연결만 사용한다. 입력·대상·상태가 바뀌면 이전 이동 제안을 무효화한다. 금액·한도·판정은 기존 서버 결과를 설명하며 AI가 계산·변경하지 않는다. 사용자 동의한 안내 이동 후 087 실행기로 강조한다. AI 장애/근거 부족 시 고정 가이드·재질문/미지원 안내로 복귀한다. 안내만으로 업무 저장·확정·자동 클릭하지 않는다. 072·074 규정 RAG와 075·076 탐정/영수증은 제외 상태를 유지한다.</x:v>
      </x:c>
      <x:c r="I68" s="87" t="str">
        <x:v>FGC-FUN-002,FGC-FUN-035,FGC-FUN-053,FGC-FUN-087,FGC-FUN-088,FGC-COR-007,FGC-SER-013</x:v>
      </x:c>
      <x:c r="J68" s="87" t="str">
        <x:v>업무 가이드 카탈로그/화면정의서/API명세서/AI 안내 검증결과</x:v>
      </x:c>
      <x:c r="K68" s="87" t="str">
        <x:v>2026-10-27 현준 회의 결정·AI 업무 가이드 설계 참고, 기존 FGC 업무 API·승인 가이드, COR-007</x:v>
      </x:c>
      <x:c r="L68" s="87" t="str">
        <x:v>같은 키워드의 등록·조회·정정 의도를 구분하며 모호한 질문은 추가 확인한다. 미저장/사전검증 전/검증 후 입력 변경/이미 확정된 지급 건을 각각 올바른 단계로 안내한다. 권한 밖 대상·AGENT 요청·임의 workflow/step/target을 차단하고 화면/가이드 버전 불일치에는 이동하지 않는다. 최신 서버 상태와 다른 업무 완료를 주장하지 않는다. 근거·버전이 표시되고 AI 실패 시 고정 가이드를 사용할 수 있다. 질문·다음·안내 시작만으로 저장/확정 API가 호출되지 않는다.</x:v>
      </x:c>
      <x:c r="M68" s="87" t="str">
        <x:v>내부 사용자가 도움말의 AI 업무 질문을 열어 질문하거나 등록된 가이드 시작/이어서 안내를 선택할 때.</x:v>
      </x:c>
      <x:c r="N68" s="87" t="str">
        <x:v>IF-API-60을 CMN-C04용 업무 안내 계약으로 재정의하고 기존 LlmGateway를 재사용한다. 업무/단계 정의는 저장소에서 버전 관리하고 승인본만 검색 인덱스로 생성한다. 기존 knowledge_chunk·LLM 통로에 임베딩이 준비돼 있다고 가정하지 않는다. 대상/상태 판정과 화면 이동은 결정적 프로그램 로직으로 분리하며 가이드 검색에 필요한 기능을 073 안에서 구현한다.</x:v>
      </x:c>
      <x:c r="O68" s="87" t="str">
        <x:v>v3.0 (2026-10-27, 현준 최종 회의 반영): 미진행→진행. 기존073을 내부 전용 AI 업무 질의응답·등록 가이드 연결로 재정의. 신규 FUN 번호 없음.</x:v>
      </x:c>
    </x:row>
    <x:row r="69" ht="112" customHeight="1">
      <x:c r="A69" s="91" t="s">
        <x:v>821</x:v>
      </x:c>
      <x:c r="B69" s="91" t="s">
        <x:v>822</x:v>
      </x:c>
      <x:c r="C69" s="91" t="s">
        <x:v>1582</x:v>
      </x:c>
      <x:c r="D69" s="92" t="s">
        <x:v>77</x:v>
      </x:c>
      <x:c r="E69" s="95" t="s">
        <x:v>267</x:v>
      </x:c>
      <x:c r="F69" s="94" t="s">
        <x:v>83</x:v>
      </x:c>
      <x:c r="G69" s="91" t="s">
        <x:v>237</x:v>
      </x:c>
      <x:c r="H69" s="91" t="s">
        <x:v>1583</x:v>
      </x:c>
      <x:c r="I69" s="91" t="s">
        <x:v>823</x:v>
      </x:c>
      <x:c r="J69" s="91" t="s">
        <x:v>1584</x:v>
      </x:c>
      <x:c r="K69" s="91" t="s">
        <x:v>824</x:v>
      </x:c>
      <x:c r="L69" s="91" t="s">
        <x:v>1585</x:v>
      </x:c>
      <x:c r="M69" s="91" t="s">
        <x:v>1586</x:v>
      </x:c>
      <x:c r="N69" s="91" t="s">
        <x:v>1587</x:v>
      </x:c>
      <x:c r="O69" s="91" t="s">
        <x:v>270</x:v>
      </x:c>
    </x:row>
    <x:row r="70" ht="203" customHeight="1">
      <x:c r="A70" s="87" t="s">
        <x:v>825</x:v>
      </x:c>
      <x:c r="B70" s="87" t="s">
        <x:v>826</x:v>
      </x:c>
      <x:c r="C70" s="87" t="s">
        <x:v>1588</x:v>
      </x:c>
      <x:c r="D70" s="92" t="s">
        <x:v>77</x:v>
      </x:c>
      <x:c r="E70" s="137" t="str">
        <x:v>미진행</x:v>
      </x:c>
      <x:c r="F70" s="90" t="s">
        <x:v>74</x:v>
      </x:c>
      <x:c r="G70" s="87" t="s">
        <x:v>237</x:v>
      </x:c>
      <x:c r="H70" s="87" t="str">
        <x:v>[미진행 원안 — 이번 구현·인수 대상 제외]
같은 검증월·같은 지급단계 안에서만 비교한다. 비교 단위(지점·항목·회차)와 탐지 기준(최소 건수·최소 보험사 수·비교군 최소 건수·발생률 차이·배수)은 정책 파라미터로 관리하고 코드 상수로 두지 않는다(COR-004). 결과는 '조사 후보'이며 위반이나 원인을 확정하지 않는다. 후보에서 관련 예외 업무건(FUN-053)·계약·원천 행으로 이동한다. 조사 상태는 예외 업무건 이력에 남긴다. 관계 지도에는 선택한 후보와 관련된 건만 그린다. 미진행 FUN-076 구현 시 관계지도 계약 버튼을 선택 대사 결과의 수수료 영수증(CMN-C03)으로 연결한다. 075·076 모두 이번 구현 대상에서 제외한다.</x:v>
      </x:c>
      <x:c r="I70" s="87" t="str">
        <x:v>FGC-FUN-048,FGC-FUN-049,FGC-FUN-052,FGC-FUN-053,FGC-DAR-012,FGC-FUN-076</x:v>
      </x:c>
      <x:c r="J70" s="87" t="s">
        <x:v>1201</x:v>
      </x:c>
      <x:c r="K70" s="87" t="s">
        <x:v>827</x:v>
      </x:c>
      <x:c r="L70" s="87" t="s">
        <x:v>1589</x:v>
      </x:c>
      <x:c r="M70" s="87" t="s">
        <x:v>1590</x:v>
      </x:c>
      <x:c r="N70" s="87" t="s">
        <x:v>1591</x:v>
      </x:c>
      <x:c r="O70" s="87" t="str">
        <x:v>v3.0 (2026-10-27, 현준 최종 회의 반영): 논의후 진행→미진행. 탐정 패턴 탐지·관계지도는 이번 구현/인수에서 제외. ID·원안은 이력으로 보존.</x:v>
      </x:c>
    </x:row>
    <x:row r="71" ht="218" customHeight="1">
      <x:c r="A71" s="91" t="s">
        <x:v>828</x:v>
      </x:c>
      <x:c r="B71" s="91" t="str">
        <x:v>정산탐정 관계지도 수수료 영수증 조회</x:v>
      </x:c>
      <x:c r="C71" s="91" t="str">
        <x:v>정산탐정 탭의 관계지도에서 계약 버튼을 누르면 선택한 대사 결과의 금액과 실제 연결 근거를 수수료 영수증으로 보여줘야 한다.</x:v>
      </x:c>
      <x:c r="D71" s="92" t="s">
        <x:v>77</x:v>
      </x:c>
      <x:c r="E71" s="137" t="str">
        <x:v>미진행</x:v>
      </x:c>
      <x:c r="F71" s="94" t="s">
        <x:v>83</x:v>
      </x:c>
      <x:c r="G71" s="91" t="s">
        <x:v>231</x:v>
      </x:c>
      <x:c r="H71" s="91" t="str">
        <x:v>[미진행 원안 — 이번 구현·인수 대상 제외]
DETC-W01 관계지도의 계약 버튼에서 오른쪽 CMN-C03 드로어를 연다. 선택 패턴·계약·대사 결과 ID·검증월·지급단계·회차·결과 버전을 함께 유지한다. 같은 계약에 여러 결과가 있으면 해당 맥락을 선택·확인하며 임의 결과를 가져오지 않는다. ①금액 ②계산 내역(예상·실제·차액·허용오차) ③정책 버전 ④계약·상태 사건 ⑤스케줄 행 ⑥원천 명세 행 ⑦분개 ⑧근거를 실제 FK·문서 ID로 조회한다. 각 단계는 연결됨/아직 생성 전/해당 없음/연결 누락을 구분하고 조회 실패는 별도 표시한다. 차액 부호·계산은 원본 대사 결과와 일치시킨다. 닫기 후 지도 선택·확대·위치를 유지한다. 다른 화면의 범용 금액 클릭, 영수증 PDF, AI 추정·요약은 추가하지 않는다.</x:v>
      </x:c>
      <x:c r="I71" s="91" t="str">
        <x:v>FGC-FUN-075,FGC-FUN-048,FGC-FUN-049,FGC-FUN-046,FGC-FUN-016</x:v>
      </x:c>
      <x:c r="J71" s="91" t="str">
        <x:v>화면정의서/API명세서</x:v>
      </x:c>
      <x:c r="K71" s="91" t="s">
        <x:v>1592</x:v>
      </x:c>
      <x:c r="L71" s="91" t="str">
        <x:v>관계지도 계약 클릭 시 그 계약의 선택 대사 결과에 연결된 영수증이 열린다. 8단계 값·ID·차액이 DB 원본과 일치하고 다른 월·단계·회차가 섞이지 않는다. 연결 없음·자료 미생성·권한 오류·조회 실패를 구분한다. 닫기 후 지도 상태가 유지된다.</x:v>
      </x:c>
      <x:c r="M71" s="91" t="str">
        <x:v>정산탐정 관계지도에서 계약 버튼을 누를 때.</x:v>
      </x:c>
      <x:c r="N71" s="91" t="str">
        <x:v>IF-API-62 관련 계약 노드에 대사 결과 ID/맥락을 연결하고 IF-API-63을 RECON_RESULT로 조회한다. 기존 공통 드로어 ID CMN-C03을 재사용하며 범용 5종 금액 추적 API를 구현 범위로 확대하지 않는다.</x:v>
      </x:c>
      <x:c r="O71" s="91" t="str">
        <x:v>v3.0 (2026-10-27, 현준 최종 회의 반영): 논의후 진행→미진행. 탐정 제외에 따라 관계지도 수수료 영수증도 제외. 기존 원천 상세 조회는 유지.</x:v>
      </x:c>
    </x:row>
    <x:row r="72" ht="100" customHeight="1">
      <x:c r="A72" s="87" t="s">
        <x:v>829</x:v>
      </x:c>
      <x:c r="B72" s="87" t="s">
        <x:v>830</x:v>
      </x:c>
      <x:c r="C72" s="87" t="s">
        <x:v>1593</x:v>
      </x:c>
      <x:c r="D72" s="92" t="s">
        <x:v>77</x:v>
      </x:c>
      <x:c r="E72" s="93" t="s">
        <x:v>241</x:v>
      </x:c>
      <x:c r="F72" s="94" t="s">
        <x:v>83</x:v>
      </x:c>
      <x:c r="G72" s="87" t="s">
        <x:v>231</x:v>
      </x:c>
      <x:c r="H72" s="87" t="s">
        <x:v>1594</x:v>
      </x:c>
      <x:c r="I72" s="87" t="s">
        <x:v>831</x:v>
      </x:c>
      <x:c r="J72" s="87" t="s">
        <x:v>1201</x:v>
      </x:c>
      <x:c r="K72" s="87" t="s">
        <x:v>832</x:v>
      </x:c>
      <x:c r="L72" s="87" t="s">
        <x:v>1595</x:v>
      </x:c>
      <x:c r="M72" s="87" t="s">
        <x:v>1596</x:v>
      </x:c>
      <x:c r="N72" s="87" t="s">
        <x:v>1597</x:v>
      </x:c>
      <x:c r="O72" s="87" t="s">
        <x:v>833</x:v>
      </x:c>
    </x:row>
    <x:row r="73" ht="316" customHeight="1">
      <x:c r="A73" s="91" t="s">
        <x:v>834</x:v>
      </x:c>
      <x:c r="B73" s="91" t="s">
        <x:v>835</x:v>
      </x:c>
      <x:c r="C73" s="91" t="s">
        <x:v>1598</x:v>
      </x:c>
      <x:c r="D73" s="92" t="s">
        <x:v>77</x:v>
      </x:c>
      <x:c r="E73" s="95" t="s">
        <x:v>267</x:v>
      </x:c>
      <x:c r="F73" s="90" t="s">
        <x:v>74</x:v>
      </x:c>
      <x:c r="G73" s="91" t="s">
        <x:v>237</x:v>
      </x:c>
      <x:c r="H73" s="91" t="s">
        <x:v>1599</x:v>
      </x:c>
      <x:c r="I73" s="91" t="s">
        <x:v>836</x:v>
      </x:c>
      <x:c r="J73" s="91" t="s">
        <x:v>1298</x:v>
      </x:c>
      <x:c r="K73" s="91" t="s">
        <x:v>837</x:v>
      </x:c>
      <x:c r="L73" s="91" t="s">
        <x:v>1600</x:v>
      </x:c>
      <x:c r="M73" s="91" t="s">
        <x:v>1601</x:v>
      </x:c>
      <x:c r="N73" s="91" t="s">
        <x:v>1602</x:v>
      </x:c>
      <x:c r="O73" s="91" t="s">
        <x:v>270</x:v>
      </x:c>
    </x:row>
    <x:row r="74" ht="304" customHeight="1">
      <x:c r="A74" s="87" t="s">
        <x:v>838</x:v>
      </x:c>
      <x:c r="B74" s="87" t="str">
        <x:v>설계사 상황별 상품 적합도 조회·AI 근거 설명</x:v>
      </x:c>
      <x:c r="C74" s="87" t="str">
        <x:v>설계사가 상품 카테고리를 선택하면 서버가 로그인 설계사의 수수료·환수·한도 DB 내역을 자동 조회하여 보험사별 상품의 적합도를 규칙으로 계산·정렬하고, 챗봇이 계산 근거를 설명해야 한다. 상품 선택은 설계사가 하며 FGC는 추천을 확정하지 않는다.</x:v>
      </x:c>
      <x:c r="D74" s="92" t="s">
        <x:v>77</x:v>
      </x:c>
      <x:c r="E74" s="139" t="str">
        <x:v>진행</x:v>
      </x:c>
      <x:c r="F74" s="90" t="s">
        <x:v>74</x:v>
      </x:c>
      <x:c r="G74" s="87" t="s">
        <x:v>237</x:v>
      </x:c>
      <x:c r="H74" s="87" t="str">
        <x:v>AGNT-W01 설계사 홈의 [상품 추천 AI] 버튼에서 모달을 열어 카테고리 선택→후보 조회→비교·AI 근거 설명을 제공한다. 로그인 app_user.agent_id의 수수료·환수·한도 DB 내역을 서버가 자동 조회한다. 기존 FGC 상품·정책과 필요한 데이터 조회·연결·집계·보완 및 계산 로직은 079 범위에서 구현한다. 078 협회 자료 적재/관리 기능은 미진행이며 별도 수집 기능을 추가하지 않는다. 협회 등급 등 보조 필드는 근거 있는 기존/보완 DB 값이 있을 때만 출처·기준일과 표시하고 없으면 자료 없음으로 표시한다. 적합도 식·가중치·집계 기간·동점/결측 처리는 확정 필요다. 목업의 보수적 순수령액 식·순위·숫자는 예시이며 확정 규칙으로 채택하지 않는다. 서버 계산 결과만 정렬하며 실제 AI는 동일 결과의 근거 설명·후속 질문만 수행한다. AI가 금액·점수·순위·상품 선택을 변경하거나 확정하지 않는다. 결과 버전이 바뀌면 기존 설명을 무효화한다. AI 장애에도 서버 결과·정형 근거는 남긴다. 모달 닫기/복귀 시 홈의 조회 조건을 보존한다. PDF·수령 확인·추천 확정·자동 계약 생성은 제외한다.</x:v>
      </x:c>
      <x:c r="I74" s="87" t="str">
        <x:v>FGC-FUN-002,FGC-FUN-007,FGC-FUN-011,FGC-FUN-030,FGC-FUN-055,FGC-FUN-085,FGC-COR-007,FGC-DAR-008</x:v>
      </x:c>
      <x:c r="J74" s="87" t="str">
        <x:v>화면정의서/API명세서/적합도 규칙 정의서/AI 설명 검증결과</x:v>
      </x:c>
      <x:c r="K74" s="87" t="str">
        <x:v>2026-10-27 현준 회의 결정, 기존 FGC 상품·정책·본인 DB, COR-007, DAR-008</x:v>
      </x:c>
      <x:c r="L74" s="87" t="str">
        <x:v>로그인 설계사의 DB 내역만 자동 조회된다. 확정 규칙의 같은 입력·정책 버전에서 같은 점수·순서가 재현된다. 계산식·가중치 미설정은 설정 필요로 표시하고 임의 점수를 만들지 않는다. 실제 AI 설명의 수치·순위·근거가 서버 결과와 일치하고 다른 설계사 결과 접근은 거절된다. AI 장애에도 계산 결과는 조회할 수 있다. PDF·수령 확인·추천 확정·자동 계약 처리가 없다.</x:v>
      </x:c>
      <x:c r="M74" s="87" t="str">
        <x:v>설계사 홈의 상품 추천 AI 버튼에서 카테고리를 선택하고 서버 결과의 근거를 질문할 때.</x:v>
      </x:c>
      <x:c r="N74" s="87" t="str">
        <x:v>구 CMPR-W01 독립 화면을 AGNT-W01 내부 상품 AI 모달로 통합한다. IF-API-76 본인 상황, 77 서버 평가, 78 AI 설명 및 IF-EXT-03을 연결한다. 085 본인 범위를 모든 요청에 적용한다. 계산식·가중치 및 필드/정밀도·데이터 보완 기준은 설계 확정 필요로 관리한다. API 키·불필요한 개인 식별자는 브라우저/LLM에 노출하지 않는다.</x:v>
      </x:c>
      <x:c r="O74" s="87" t="str">
        <x:v>v3.0 (2026-10-27, 현준 최종 회의 반영): 논의후 진행→진행. 설계사 홈 모달로 통합. 필요한 기존 DB 데이터/계산 로직은079 범위, 계산식·가중치는 미확정.078 제외 유지.</x:v>
      </x:c>
    </x:row>
    <x:row r="75" ht="124" customHeight="1">
      <x:c r="A75" s="91" t="s">
        <x:v>839</x:v>
      </x:c>
      <x:c r="B75" s="91" t="s">
        <x:v>840</x:v>
      </x:c>
      <x:c r="C75" s="91" t="s">
        <x:v>1603</x:v>
      </x:c>
      <x:c r="D75" s="92" t="s">
        <x:v>77</x:v>
      </x:c>
      <x:c r="E75" s="89" t="s">
        <x:v>230</x:v>
      </x:c>
      <x:c r="F75" s="90" t="s">
        <x:v>74</x:v>
      </x:c>
      <x:c r="G75" s="91" t="s">
        <x:v>231</x:v>
      </x:c>
      <x:c r="H75" s="91" t="s">
        <x:v>1604</x:v>
      </x:c>
      <x:c r="I75" s="91" t="s">
        <x:v>841</x:v>
      </x:c>
      <x:c r="J75" s="91" t="s">
        <x:v>1201</x:v>
      </x:c>
      <x:c r="K75" s="91" t="s">
        <x:v>842</x:v>
      </x:c>
      <x:c r="L75" s="91" t="s">
        <x:v>1605</x:v>
      </x:c>
      <x:c r="M75" s="91" t="s">
        <x:v>1606</x:v>
      </x:c>
      <x:c r="N75" s="91" t="s">
        <x:v>1607</x:v>
      </x:c>
      <x:c r="O75" s="91" t="s">
        <x:v>843</x:v>
      </x:c>
    </x:row>
    <x:row r="76" ht="112" customHeight="1">
      <x:c r="A76" s="87" t="s">
        <x:v>844</x:v>
      </x:c>
      <x:c r="B76" s="87" t="s">
        <x:v>845</x:v>
      </x:c>
      <x:c r="C76" s="87" t="s">
        <x:v>1608</x:v>
      </x:c>
      <x:c r="D76" s="92" t="s">
        <x:v>77</x:v>
      </x:c>
      <x:c r="E76" s="95" t="s">
        <x:v>267</x:v>
      </x:c>
      <x:c r="F76" s="94" t="s">
        <x:v>83</x:v>
      </x:c>
      <x:c r="G76" s="87" t="s">
        <x:v>231</x:v>
      </x:c>
      <x:c r="H76" s="87" t="s">
        <x:v>1609</x:v>
      </x:c>
      <x:c r="I76" s="87" t="s">
        <x:v>846</x:v>
      </x:c>
      <x:c r="J76" s="87" t="s">
        <x:v>1610</x:v>
      </x:c>
      <x:c r="K76" s="87" t="s">
        <x:v>847</x:v>
      </x:c>
      <x:c r="L76" s="87" t="s">
        <x:v>1611</x:v>
      </x:c>
      <x:c r="M76" s="87" t="s">
        <x:v>1612</x:v>
      </x:c>
      <x:c r="N76" s="87" t="s">
        <x:v>1613</x:v>
      </x:c>
      <x:c r="O76" s="87" t="s">
        <x:v>270</x:v>
      </x:c>
    </x:row>
    <x:row r="77" ht="52" customHeight="1">
      <x:c r="A77" s="91" t="s">
        <x:v>848</x:v>
      </x:c>
      <x:c r="B77" s="91" t="s">
        <x:v>849</x:v>
      </x:c>
      <x:c r="C77" s="91" t="s">
        <x:v>1614</x:v>
      </x:c>
      <x:c r="D77" s="92" t="s">
        <x:v>77</x:v>
      </x:c>
      <x:c r="E77" s="95" t="s">
        <x:v>267</x:v>
      </x:c>
      <x:c r="F77" s="94" t="s">
        <x:v>83</x:v>
      </x:c>
      <x:c r="G77" s="91" t="s">
        <x:v>250</x:v>
      </x:c>
      <x:c r="H77" s="91" t="s">
        <x:v>1615</x:v>
      </x:c>
      <x:c r="I77" s="91" t="s">
        <x:v>850</x:v>
      </x:c>
      <x:c r="J77" s="91" t="s">
        <x:v>1298</x:v>
      </x:c>
      <x:c r="K77" s="91" t="s">
        <x:v>852</x:v>
      </x:c>
      <x:c r="L77" s="91" t="s">
        <x:v>1616</x:v>
      </x:c>
      <x:c r="M77" s="91" t="s">
        <x:v>1617</x:v>
      </x:c>
      <x:c r="N77" s="91" t="s">
        <x:v>1618</x:v>
      </x:c>
      <x:c r="O77" s="91" t="s">
        <x:v>270</x:v>
      </x:c>
    </x:row>
    <x:row r="78" ht="88" customHeight="1">
      <x:c r="A78" s="87" t="s">
        <x:v>853</x:v>
      </x:c>
      <x:c r="B78" s="87" t="s">
        <x:v>854</x:v>
      </x:c>
      <x:c r="C78" s="87" t="s">
        <x:v>1619</x:v>
      </x:c>
      <x:c r="D78" s="92" t="s">
        <x:v>77</x:v>
      </x:c>
      <x:c r="E78" s="95" t="s">
        <x:v>267</x:v>
      </x:c>
      <x:c r="F78" s="94" t="s">
        <x:v>83</x:v>
      </x:c>
      <x:c r="G78" s="87" t="s">
        <x:v>237</x:v>
      </x:c>
      <x:c r="H78" s="87" t="s">
        <x:v>1620</x:v>
      </x:c>
      <x:c r="I78" s="87" t="s">
        <x:v>855</x:v>
      </x:c>
      <x:c r="J78" s="87" t="s">
        <x:v>1298</x:v>
      </x:c>
      <x:c r="K78" s="87" t="s">
        <x:v>856</x:v>
      </x:c>
      <x:c r="L78" s="87" t="s">
        <x:v>1621</x:v>
      </x:c>
      <x:c r="M78" s="87" t="s">
        <x:v>1622</x:v>
      </x:c>
      <x:c r="N78" s="87" t="s">
        <x:v>1623</x:v>
      </x:c>
      <x:c r="O78" s="87" t="s">
        <x:v>270</x:v>
      </x:c>
    </x:row>
    <x:row r="79" ht="188" customHeight="1">
      <x:c r="A79" s="91" t="s">
        <x:v>857</x:v>
      </x:c>
      <x:c r="B79" s="91" t="s">
        <x:v>858</x:v>
      </x:c>
      <x:c r="C79" s="91" t="str">
        <x:v>관리자가 환수 검토·계산 화면에서 환수 계산 결과에 근거한 PDF를 생성·다운로드하고 발행 이력을 확인해야 한다.</x:v>
      </x:c>
      <x:c r="D79" s="92" t="s">
        <x:v>77</x:v>
      </x:c>
      <x:c r="E79" s="139" t="str">
        <x:v>진행</x:v>
      </x:c>
      <x:c r="F79" s="94" t="s">
        <x:v>83</x:v>
      </x:c>
      <x:c r="G79" s="91" t="s">
        <x:v>231</x:v>
      </x:c>
      <x:c r="H79" s="91" t="str">
        <x:v>CLAW-W01 환수 상세의 내부 관리 기능이다. 계약번호·대상 설계사·환수 사유/발생일·항목·기지급액·정책 버전·환수율·계산 근거·환수액을 PDF에 포함하고 계약자 개인정보는 제외한다. 생성·재발행은 SETTLEMENT·GA_ADMIN 및 SYSTEM_ADMIN, 이력 조회·다운로드는 위 역할과 COMPLIANCE의 허용 범위에 제공한다. AGENT에는 이 기능을 제공하지 않는다. 문서번호·판·해시·생성자·시각·계산 결과 버전을 기록하며 재발행은 새 판으로 보존한다. 실제 통지·이의·확정·상계·회수 업무나 설계사 수신 확인은 구현하지 않는다. 생성·다운로드로 환수 상태를 변경하지 않는다. 가상 양식을 표시하고 승인된 안내 문구만 사용한다.</x:v>
      </x:c>
      <x:c r="I79" s="91" t="str">
        <x:v>FGC-FUN-054,FGC-FUN-055,FGC-FUN-002</x:v>
      </x:c>
      <x:c r="J79" s="91" t="s">
        <x:v>1624</x:v>
      </x:c>
      <x:c r="K79" s="91" t="s">
        <x:v>859</x:v>
      </x:c>
      <x:c r="L79" s="91" t="str">
        <x:v>허용 내부 역할만 PDF를 생성/조회/다운로드하며 AGENT 요청은 거절된다. PDF 금액·근거가 선택한055 계산 결과와 일치하고 계약자 개인정보가 없다. 재발행은 새 판으로 보존하며 생성 실패는 발행 성공으로 기록하지 않는다. 생성·다운로드 전후 환수 상태가 동일하다.</x:v>
      </x:c>
      <x:c r="M79" s="91" t="s">
        <x:v>1625</x:v>
      </x:c>
      <x:c r="N79" s="91" t="str">
        <x:v>IF-API-73 생성/재발행·67A 다운로드와 발행 이력 조회 계약을 CLAW-W01에 연결한다. 실제 통지 이력이나 설계사085 기능을 선행 조건으로 삼지 않는다. 한글 글꼴과 문서별 내부 역할/대상 권한을 적용한다.</x:v>
      </x:c>
      <x:c r="O79" s="91" t="str">
        <x:v>v3.0 (2026-10-27, 현준 최종 회의 반영): 논의후 진행→진행. 환수 화면의 내부 관리자 PDF 기능으로 분리. AGENT 제공·085 선행 의존 제거.</x:v>
      </x:c>
    </x:row>
    <x:row r="80" ht="188" customHeight="1">
      <x:c r="A80" s="87" t="s">
        <x:v>860</x:v>
      </x:c>
      <x:c r="B80" s="87" t="s">
        <x:v>861</x:v>
      </x:c>
      <x:c r="C80" s="87" t="s">
        <x:v>1626</x:v>
      </x:c>
      <x:c r="D80" s="92" t="s">
        <x:v>77</x:v>
      </x:c>
      <x:c r="E80" s="139" t="str">
        <x:v>진행</x:v>
      </x:c>
      <x:c r="F80" s="90" t="s">
        <x:v>74</x:v>
      </x:c>
      <x:c r="G80" s="87" t="s">
        <x:v>237</x:v>
      </x:c>
      <x:c r="H80" s="87" t="str">
        <x:v>AGENT는 app_user.agent_id로 연결된 본인의 계약·지급·환수 조회·명세·홈·계약 확인 기록·상품 적합도 결과/AI 설명만 사용한다. 최초 연결 설계사는 고정하고 담당 변경·승계는 고려하지 않는다. 목록·상세·허용 다운로드·확인 기록·AI 결과 ID 모두 같은 서버 범위로 검증한다. 다른 설계사 ID/URL/평가 결과 요청은 조회/처리 전에403으로 거절하며 메뉴 숨김으로 대신하지 않는다. FUN-079 데이터 조회·결과·후속 질문에 동일 조건을 적용한다. 084 환수 PDF와073 내부 업무 AI는 내부 역할 전용으로 AGENT에게 제공하지 않는다. 계정 관리003의 후순위와 관계없이 본인 범위 검사는 필수다.</x:v>
      </x:c>
      <x:c r="I80" s="87" t="str">
        <x:v>FGC-FUN-002,FGC-FUN-060,FGC-FUN-079,FGC-FUN-086,FGC-SER-002</x:v>
      </x:c>
      <x:c r="J80" s="87" t="s">
        <x:v>1195</x:v>
      </x:c>
      <x:c r="K80" s="87" t="s">
        <x:v>862</x:v>
      </x:c>
      <x:c r="L80" s="87" t="str">
        <x:v>본인 계약·지급·환수·명세·홈·확인 기록·상품 AI만 접근 가능하다. 다른 설계사 ID/URL/평가 결과 직접 접근은 거절된다. AGENT의084 PDF 및073 내부 업무 AI 호출이 차단된다. 권한 검사 전에는 해당 대상의 내용을 AI에 전달하지 않는다.</x:v>
      </x:c>
      <x:c r="M80" s="87" t="s">
        <x:v>1627</x:v>
      </x:c>
      <x:c r="N80" s="87" t="s">
        <x:v>1628</x:v>
      </x:c>
      <x:c r="O80" s="87" t="str">
        <x:v>v3.0 (2026-10-27, 현준 최종 회의 반영): 논의후 진행→진행. 본인 홈·명세·상품 AI 경계 적용.073 내부 AI와084 환수 PDF는 AGENT 제외.</x:v>
      </x:c>
    </x:row>
    <x:row r="81" ht="248" customHeight="1">
      <x:c r="A81" s="91" t="s">
        <x:v>863</x:v>
      </x:c>
      <x:c r="B81" s="91" t="str">
        <x:v>설계사 홈: 포트폴리오·오늘의 계약 관리</x:v>
      </x:c>
      <x:c r="C81" s="91" t="str">
        <x:v>설계사 전용 홈에서 본인 수수료·계약 현황과 포트폴리오를 보고, 확인할 계약을 관리하며 상품 AI 모달로 진입할 수 있어야 한다.</x:v>
      </x:c>
      <x:c r="D81" s="92" t="s">
        <x:v>77</x:v>
      </x:c>
      <x:c r="E81" s="139" t="str">
        <x:v>진행</x:v>
      </x:c>
      <x:c r="F81" s="94" t="s">
        <x:v>83</x:v>
      </x:c>
      <x:c r="G81" s="91" t="s">
        <x:v>231</x:v>
      </x:c>
      <x:c r="H81" s="91" t="str">
        <x:v>목업 FGC_설계사포트폴리오_AI_손가영.html의 홈 구성을 기준으로 이번 달 지급 예정·보류·환수 요약, 영업/포트폴리오 현황, 확인할 계약, [상품 추천 AI] 진입을 배치한다. 보험사별 계약 수, 월별 신규 계약 수·보험료, 보장 카테고리 및 계약 상태 분포를 본인 DB로 집계한다. 기간6개월/12개월/전체 및 생명·손해/보험사 조건을 제공하며 집계 기준일·기간·분모를 표시한다. 목업 수치는 합성 예시이며 누락은0원과 구분한다. 최근 상태 사건과 경과일을 반영해 확인 대상 계약을 보여주고 종결/후속 확인 필요·다음 확인일·메모를 서버에 기록한다. 기존 확인 기록은 목업에서 생략돼도 제외하지 않는다. 보류 금액을 지급 가능액으로 표시하지 않으며 미확인 금액은 별도 표기한다. 본인 계약·명세로 이동하고079 모달 종료 시 홈 조건을 보존한다. 계약자 이름 대신 계약번호로 식별한다.</x:v>
      </x:c>
      <x:c r="I81" s="91" t="str">
        <x:v>FGC-FUN-025,FGC-FUN-026,FGC-FUN-060,FGC-FUN-079,FGC-FUN-085</x:v>
      </x:c>
      <x:c r="J81" s="91" t="s">
        <x:v>1201</x:v>
      </x:c>
      <x:c r="K81" s="91" t="s">
        <x:v>864</x:v>
      </x:c>
      <x:c r="L81" s="91" t="str">
        <x:v>로그인 설계사의 데이터만 동일 조건·기준일로 요약/차트에 집계된다. 빈 데이터·미확인 금액·조회 실패를 구분한다. 후속 확인 필요 건이 다음 확인일에 다시 표시되고 확인 기록이 재조회된다. 홈 버튼에서079 모달을 열고 닫아도 홈 조건이 유지된다. 다른 설계사/계약 데이터는 차트·모달·확인 기록에서 접근할 수 없다.</x:v>
      </x:c>
      <x:c r="M81" s="91" t="s">
        <x:v>1629</x:v>
      </x:c>
      <x:c r="N81" s="91" t="str">
        <x:v>IF-API-74 홈 조회를 요약·필터·포트폴리오 집계로 확장하고74A 확인 기록을 유지한다. 상품 AI76~78은 홈 모달 내부에서 호출하며 별도 CMPR-W01 메뉴/라우트를 만들지 않는다. 집계 기준/필드·빈값 처리는 인터페이스 정의서에 따라 상세 확정한다.</x:v>
      </x:c>
      <x:c r="O81" s="91" t="str">
        <x:v>v3.0 (2026-10-27, 현준 최종 회의 반영): 논의후 진행→진행. 목업의 포트폴리오/상품 AI 진입 반영. 기존 확인 결과·후속 확인일 기록 유지.</x:v>
      </x:c>
    </x:row>
    <x:row r="82" ht="263" customHeight="1">
      <x:c r="A82" s="87" t="s">
        <x:v>886</x:v>
      </x:c>
      <x:c r="B82" s="135" t="str">
        <x:v>화면별 업무 가이드 및 안내 대상 연결</x:v>
      </x:c>
      <x:c r="C82" s="87" t="s">
        <x:v>1630</x:v>
      </x:c>
      <x:c r="D82" s="92" t="s">
        <x:v>77</x:v>
      </x:c>
      <x:c r="E82" s="139" t="str">
        <x:v>진행</x:v>
      </x:c>
      <x:c r="F82" s="90" t="s">
        <x:v>74</x:v>
      </x:c>
      <x:c r="G82" s="87" t="s">
        <x:v>231</x:v>
      </x:c>
      <x:c r="H82" s="87" t="str">
        <x:v>각 접근 가능한 업무 화면/탭의 [도움말]에서 마스코트·단계 안내·스포트라이트를 제공한다. 073 AI 답변과088 전체 흐름이 같은 실행기를 재사용한다. 화면·탭·workflowId·stepId·targetId와 완료 조건/분기/허용 역할·버전을 등록해 관리한다. 입력 필수값/형식을 충족하면 [다음]으로 실제 등록·저장 버튼을 강조하며 자동 클릭하지 않는다. 안내 단계만으로 업무 저장/확정하지 않는다. 페이지 이동·탭/접힌 패널 열기·렌더링·스크롤 후 등록된 대상 하나가 보이는지 확인하여 강조한다. 대상 없음/중복/버전 불일치는 대기 또는 사유를 알리고 중단한다. AI가 주소/선택자/새 targetId를 만들지 않는다. 미저장 입력이 있으면 이동 전에 보존 또는 이동 여부를 확인한다. 이전/다시 보기/종료는 입력값을 지우거나 저장을 반복하지 않는다. 마스코트는 부유하고 스포트라이트만 사용하며 줌·화살표·물음표 접두사는 제외한다. 움직임 줄이기·키보드 종료·포커스 복귀를 제공한다.</x:v>
      </x:c>
      <x:c r="I82" s="87" t="str">
        <x:v>FGC-FUN-002,FGC-FUN-018,FGC-FUN-036,FGC-FUN-041,FGC-FUN-052,FGC-FUN-065,FGC-FUN-073</x:v>
      </x:c>
      <x:c r="J82" s="87" t="s">
        <x:v>1631</x:v>
      </x:c>
      <x:c r="K82" s="87" t="s">
        <x:v>1632</x:v>
      </x:c>
      <x:c r="L82" s="87" t="str">
        <x:v>도움말이 현재 화면/탭의 등록된 대상을 정확히 강조한다. 입력 완료 후 다음은 실제 버튼 강조만 수행하고 저장하지 않는다. 느린 렌더링/접힌 탭/대상 삭제·중복/버전 불일치에 임의 영역을 강조하지 않는다. 이동 전 미저장 입력을 보호하고 종료/이전 후 값이 유지된다. 고정 도움말은 AI 장애에도 동작한다. 움직임 줄이기·키보드 조작을 지원한다.</x:v>
      </x:c>
      <x:c r="M82" s="87" t="s">
        <x:v>1633</x:v>
      </x:c>
      <x:c r="N82" s="87" t="str">
        <x:v>React 공통 실행기와 버전 관리된 가이드/화면 대상 레지스트리를 구현한다. data-guide-target 같은 안정적 식별자를 실제 DOM에 전달하고 빌드 시 누락/중복 연결을 검사한다. 화면 로컬 유효성/dirty 상태는 클라이언트가, 저장·권한·검증·확정 상태는 기존 서버가 판단한다. 고정 안내는 AI 호출이 필요 없으며 자유 질문은073 계약으로 분리한다.</x:v>
      </x:c>
      <x:c r="O82" s="87" t="str">
        <x:v>v3.0 (2026-10-27, 현준 최종 회의 반영): 진행 유지. 고정 도움말·마스코트/스포트라이트 실행기를 AI/전체 흐름과 공유하고 대상 식별·완료 조건 보완.</x:v>
      </x:c>
    </x:row>
    <x:row r="83" ht="308" customHeight="1">
      <x:c r="A83" s="91" t="s">
        <x:v>887</x:v>
      </x:c>
      <x:c r="B83" s="136" t="str">
        <x:v>전체 업무 흐름 가이드</x:v>
      </x:c>
      <x:c r="C83" s="91" t="s">
        <x:v>1634</x:v>
      </x:c>
      <x:c r="D83" s="92" t="s">
        <x:v>77</x:v>
      </x:c>
      <x:c r="E83" s="139" t="str">
        <x:v>진행</x:v>
      </x:c>
      <x:c r="F83" s="90" t="s">
        <x:v>74</x:v>
      </x:c>
      <x:c r="G83" s="91" t="s">
        <x:v>237</x:v>
      </x:c>
      <x:c r="H83" s="91" t="str">
        <x:v>DASH-W01의 [전체 업무 가이드]에서 계약 등록→예상 스케줄 확인→지급 초안 저장→사전검증→지급 확정→월 통합검증→대사 확인→예외 처리 분기→최종 확정의9개 논리 단계를 안내한다. 073으로 선택한 업무/현재 상태에서 중간 시작·이어서 안내도 가능하다. 087 실행기를 재사용하며 계약·지급·스케줄·실행·월·지급단계의 실제 식별자를 이어 준다. 입력 완료/저장 성공/검증 완료를 구분하고 현재 서버 상태로 다음 단계·분기를 결정한다. 차단·실패 시 입력을 보존하고 정정/재조회/재검증으로 안내한다. 사전검증 후 값이 바뀌면 이전 성공을 재사용하지 않는다. 대사 일치면 불필요한 정정을 건너뛰고 불일치면 실제 예외/원천 처리로 안내한다. 완료된 건은 중복 등록/확정하지 않고 결과 조회로 연결한다. 4년/7년 스케줄은 예정 생성·조회만 안내하고 지급 실습은 허용된 현행 흐름을 따른다. 권한이 없으면 필요한 권한을 안내하며 자동 역할 전환/확정하지 않는다. 사용자 입력 및 기존 업무 버튼/API만으로 저장하고 안내 종료 후 저장 데이터는 남는다. DB저장 확인용10단계와 줌 연출은 제외한다. 월 통합검증 자체10단계는 변경하지 않는다.</x:v>
      </x:c>
      <x:c r="I83" s="91" t="str">
        <x:v>FGC-FUN-073,FGC-FUN-087,FGC-FUN-018,FGC-FUN-036,FGC-FUN-065,FGC-FUN-031,FGC-FUN-033,FGC-FUN-041,FGC-FUN-042,FGC-FUN-043,FGC-FUN-044,FGC-FUN-048,FGC-FUN-049,FGC-FUN-052,FGC-FUN-053,FGC-FUN-057</x:v>
      </x:c>
      <x:c r="J83" s="91" t="s">
        <x:v>1631</x:v>
      </x:c>
      <x:c r="K83" s="91" t="s">
        <x:v>1632</x:v>
      </x:c>
      <x:c r="L83" s="91" t="str">
        <x:v>신규 시작과 기존 지급 건의 중간 시작 모두 실제 상태에 맞는 단계를 선택한다. 정상/불일치→예외 정정→재검증 경로와 AI 장애 시 고정 흐름을 완료할 수 있다. 미저장·오류·권한 부족·응답 유실은 완료로 처리하지 않는다. 재개 시 최신 상태를 조회하고 이미 끝난 업무를 중복 처리하지 않는다. 다음/종료만으로 업무 저장/확정하지 않으며 사용자 저장 데이터가 재조회된다.</x:v>
      </x:c>
      <x:c r="M83" s="91" t="s">
        <x:v>1635</x:v>
      </x:c>
      <x:c r="N83" s="91" t="str">
        <x:v>전체 흐름은 버전 관리된 등록 가이드로 정의한다. 073이 의도를 선택하고 기존 업무 API와 상태 판정기가 단계·분기를 결정하며087이 이동/강조한다. 서버 진도 저장·별도 계산 엔진·운영 DB 직접 접근은 추가하지 않는다. 계약 등록·지급 초안·사전검증/확정으로 먼저 검증한 뒤 전체9단계를 완성하며 초기 검증 순서를 최종 범위 축소로 해석하지 않는다.</x:v>
      </x:c>
      <x:c r="O83" s="91" t="str">
        <x:v>v3.0 (2026-10-27, 현준 최종 회의 반영): 진행 유지.9단계 전체 흐름·중간 시작·상태 기반 분기/복귀 보완. 별도 DB확인10단계 제외.</x:v>
      </x:c>
    </x:row>
  </x:sheetData>
  <x:conditionalFormatting sqref="D2:D83">
    <x:cfRule type="containsText" dxfId="81" priority="1" operator="containsText" text="1차"/>
    <x:cfRule type="containsText" dxfId="80" priority="2" operator="containsText" text="2차"/>
    <x:cfRule type="containsText" dxfId="79" priority="3" operator="containsText" text="공통"/>
  </x:conditionalFormatting>
  <x:conditionalFormatting sqref="E2:E83">
    <x:cfRule type="expression" dxfId="78" priority="7">
      <x:formula>E2="진행"</x:formula>
    </x:cfRule>
    <x:cfRule type="expression" dxfId="77" priority="8">
      <x:formula>E2="미진행"</x:formula>
    </x:cfRule>
    <x:cfRule type="expression" dxfId="76" priority="9">
      <x:formula>E2="후순위"</x:formula>
    </x:cfRule>
    <x:cfRule type="expression" dxfId="75" priority="10">
      <x:formula>E2="논의후 진행"</x:formula>
    </x:cfRule>
  </x:conditionalFormatting>
  <x:conditionalFormatting sqref="F2:F83">
    <x:cfRule type="containsText" dxfId="74" priority="4" operator="containsText" text="M"/>
    <x:cfRule type="containsText" dxfId="73" priority="5" operator="containsText" text="S"/>
    <x:cfRule type="containsText" dxfId="72" priority="6" operator="containsText" text="C"/>
  </x:conditionalFormatting>
  <x:dataValidations count="4">
    <x:dataValidation type="list" sqref="D2:D83">
      <x:formula1>"1차,2차,공통"</x:formula1>
    </x:dataValidation>
    <x:dataValidation type="list" sqref="F2:F83">
      <x:formula1>"M,S,C,W"</x:formula1>
    </x:dataValidation>
    <x:dataValidation type="list" sqref="G2:G83">
      <x:formula1>"상,중,하,-"</x:formula1>
    </x:dataValidation>
    <x:dataValidation type="list" sqref="E2:E83">
      <x:formula1>"진행,미진행,후순위,논의후 진행"</x:formula1>
    </x:dataValidation>
  </x:dataValidations>
  <x:pageMargins left="0.7" right="0.7" top="0.75" bottom="0.75" header="0.3" footer="0.3"/>
  <x:tableParts count="1">
    <x:tablePart xmlns:r="http://schemas.openxmlformats.org/officeDocument/2006/relationships" r:id="R2e5d23144ca14b96"/>
  </x:tableParts>
</x:worksheet>
</file>

<file path=xl/worksheets/sheet7.xml><?xml version="1.0" encoding="utf-8"?>
<x:worksheet xmlns:x="http://schemas.openxmlformats.org/spreadsheetml/2006/main">
  <x:sheetViews>
    <x:sheetView workbookViewId="0">
      <x:pane xSplit="2" ySplit="1" topLeftCell="C2" activePane="bottomRight" state="frozen"/>
    </x:sheetView>
  </x:sheetViews>
  <x:sheetFormatPr defaultColWidth="8.61328125" defaultRowHeight="14.149999618530273"/>
  <x:cols>
    <x:col min="1" max="1" width="11" style="78" customWidth="1"/>
    <x:col min="2" max="2" width="20" style="78" customWidth="1"/>
    <x:col min="3" max="3" width="64.84375" style="78" customWidth="1"/>
    <x:col min="4" max="4" width="6.69140625" style="78" customWidth="1"/>
    <x:col min="5" max="5" width="8.53515625" style="78" customWidth="1"/>
    <x:col min="6" max="6" width="6.69140625" style="78" customWidth="1"/>
    <x:col min="7" max="7" width="65.3828125" style="78" customWidth="1"/>
    <x:col min="8" max="8" width="12.3828125" style="78" customWidth="1"/>
    <x:col min="9" max="9" width="30.61328125" style="78" customWidth="1"/>
    <x:col min="10" max="10" width="15" style="78" customWidth="1"/>
    <x:col min="11" max="11" width="69.07421875" style="78" customWidth="1"/>
    <x:col min="12" max="12" width="23.4609375" style="78" customWidth="1"/>
    <x:col min="13" max="13" width="74.3828125" style="78" customWidth="1"/>
    <x:col min="14" max="14" width="68.07421875" style="78" customWidth="1"/>
    <x:col min="15" max="15" width="8.61328125" style="78" customWidth="1"/>
    <x:col min="16" max="16384" width="8.61328125" style="78" customWidth="0"/>
  </x:cols>
  <x:sheetData>
    <x:row r="1" ht="28" customHeight="1">
      <x:c r="A1" s="2" t="s">
        <x:v>215</x:v>
      </x:c>
      <x:c r="B1" s="2" t="s">
        <x:v>216</x:v>
      </x:c>
      <x:c r="C1" s="2" t="s">
        <x:v>1180</x:v>
      </x:c>
      <x:c r="D1" s="2" t="s">
        <x:v>217</x:v>
      </x:c>
      <x:c r="E1" s="2" t="s">
        <x:v>219</x:v>
      </x:c>
      <x:c r="F1" s="2" t="s">
        <x:v>220</x:v>
      </x:c>
      <x:c r="G1" s="2" t="s">
        <x:v>1181</x:v>
      </x:c>
      <x:c r="H1" s="2" t="s">
        <x:v>224</x:v>
      </x:c>
      <x:c r="I1" s="2" t="s">
        <x:v>1182</x:v>
      </x:c>
      <x:c r="J1" s="2" t="s">
        <x:v>1183</x:v>
      </x:c>
      <x:c r="K1" s="2" t="s">
        <x:v>1184</x:v>
      </x:c>
      <x:c r="L1" s="2" t="s">
        <x:v>1185</x:v>
      </x:c>
      <x:c r="M1" s="2" t="s">
        <x:v>1186</x:v>
      </x:c>
      <x:c r="N1" s="2" t="s">
        <x:v>227</x:v>
      </x:c>
    </x:row>
    <x:row r="2" ht="29.049999237060547" customHeight="1">
      <x:c r="A2" s="3" t="s">
        <x:v>481</x:v>
      </x:c>
      <x:c r="B2" s="5" t="s">
        <x:v>482</x:v>
      </x:c>
      <x:c r="C2" s="5" t="s">
        <x:v>1636</x:v>
      </x:c>
      <x:c r="D2" s="5" t="s">
        <x:v>86</x:v>
      </x:c>
      <x:c r="E2" s="3" t="s">
        <x:v>74</x:v>
      </x:c>
      <x:c r="F2" s="5" t="s">
        <x:v>231</x:v>
      </x:c>
      <x:c r="G2" s="5" t="s">
        <x:v>1637</x:v>
      </x:c>
      <x:c r="H2" s="3"/>
      <x:c r="I2" s="5" t="s">
        <x:v>1638</x:v>
      </x:c>
      <x:c r="J2" s="3" t="s">
        <x:v>238</x:v>
      </x:c>
      <x:c r="K2" s="5" t="s">
        <x:v>1639</x:v>
      </x:c>
      <x:c r="L2" s="5" t="s">
        <x:v>1640</x:v>
      </x:c>
      <x:c r="M2" s="5" t="s">
        <x:v>1641</x:v>
      </x:c>
      <x:c r="N2" s="5"/>
    </x:row>
    <x:row r="3" ht="29.049999237060547" customHeight="1">
      <x:c r="A3" s="3" t="s">
        <x:v>485</x:v>
      </x:c>
      <x:c r="B3" s="5" t="s">
        <x:v>486</x:v>
      </x:c>
      <x:c r="C3" s="3" t="s">
        <x:v>1642</x:v>
      </x:c>
      <x:c r="D3" s="3" t="s">
        <x:v>77</x:v>
      </x:c>
      <x:c r="E3" s="3" t="s">
        <x:v>74</x:v>
      </x:c>
      <x:c r="F3" s="5" t="s">
        <x:v>237</x:v>
      </x:c>
      <x:c r="G3" s="5" t="s">
        <x:v>1643</x:v>
      </x:c>
      <x:c r="H3" s="3"/>
      <x:c r="I3" s="5" t="s">
        <x:v>1644</x:v>
      </x:c>
      <x:c r="J3" s="3" t="s">
        <x:v>251</x:v>
      </x:c>
      <x:c r="K3" s="3" t="s">
        <x:v>1645</x:v>
      </x:c>
      <x:c r="L3" s="3" t="s">
        <x:v>1646</x:v>
      </x:c>
      <x:c r="M3" s="3" t="s">
        <x:v>1647</x:v>
      </x:c>
      <x:c r="N3" s="3"/>
    </x:row>
    <x:row r="4" ht="29.049999237060547" customHeight="1">
      <x:c r="A4" s="3" t="s">
        <x:v>488</x:v>
      </x:c>
      <x:c r="B4" s="5" t="s">
        <x:v>489</x:v>
      </x:c>
      <x:c r="C4" s="5" t="s">
        <x:v>1648</x:v>
      </x:c>
      <x:c r="D4" s="3" t="s">
        <x:v>77</x:v>
      </x:c>
      <x:c r="E4" s="3" t="s">
        <x:v>83</x:v>
      </x:c>
      <x:c r="F4" s="5" t="s">
        <x:v>231</x:v>
      </x:c>
      <x:c r="G4" s="3" t="s">
        <x:v>1649</x:v>
      </x:c>
      <x:c r="H4" s="3"/>
      <x:c r="I4" s="5" t="s">
        <x:v>1650</x:v>
      </x:c>
      <x:c r="J4" s="3" t="s">
        <x:v>251</x:v>
      </x:c>
      <x:c r="K4" s="5" t="s">
        <x:v>1651</x:v>
      </x:c>
      <x:c r="L4" s="5" t="s">
        <x:v>1652</x:v>
      </x:c>
      <x:c r="M4" s="5" t="s">
        <x:v>1653</x:v>
      </x:c>
      <x:c r="N4" s="5"/>
    </x:row>
    <x:row r="5" ht="29.049999237060547" customHeight="1">
      <x:c r="A5" s="3" t="s">
        <x:v>491</x:v>
      </x:c>
      <x:c r="B5" s="5" t="s">
        <x:v>492</x:v>
      </x:c>
      <x:c r="C5" s="5" t="s">
        <x:v>1654</x:v>
      </x:c>
      <x:c r="D5" s="3" t="s">
        <x:v>77</x:v>
      </x:c>
      <x:c r="E5" s="3" t="s">
        <x:v>83</x:v>
      </x:c>
      <x:c r="F5" s="5" t="s">
        <x:v>231</x:v>
      </x:c>
      <x:c r="G5" s="5" t="s">
        <x:v>1655</x:v>
      </x:c>
      <x:c r="H5" s="3"/>
      <x:c r="I5" s="5" t="s">
        <x:v>1656</x:v>
      </x:c>
      <x:c r="J5" s="3" t="s">
        <x:v>251</x:v>
      </x:c>
      <x:c r="K5" s="5" t="s">
        <x:v>1657</x:v>
      </x:c>
      <x:c r="L5" s="5" t="s">
        <x:v>1658</x:v>
      </x:c>
      <x:c r="M5" s="5" t="s">
        <x:v>1659</x:v>
      </x:c>
      <x:c r="N5" s="5"/>
    </x:row>
    <x:row r="6" ht="29.049999237060547" customHeight="1">
      <x:c r="A6" s="3" t="s">
        <x:v>493</x:v>
      </x:c>
      <x:c r="B6" s="5" t="s">
        <x:v>494</x:v>
      </x:c>
      <x:c r="C6" s="5" t="s">
        <x:v>1660</x:v>
      </x:c>
      <x:c r="D6" s="3" t="s">
        <x:v>77</x:v>
      </x:c>
      <x:c r="E6" s="3" t="s">
        <x:v>83</x:v>
      </x:c>
      <x:c r="F6" s="5" t="s">
        <x:v>231</x:v>
      </x:c>
      <x:c r="G6" s="5" t="s">
        <x:v>1661</x:v>
      </x:c>
      <x:c r="H6" s="3"/>
      <x:c r="I6" s="5" t="s">
        <x:v>1662</x:v>
      </x:c>
      <x:c r="J6" s="3" t="s">
        <x:v>438</x:v>
      </x:c>
      <x:c r="K6" s="5" t="s">
        <x:v>1663</x:v>
      </x:c>
      <x:c r="L6" s="5" t="s">
        <x:v>1664</x:v>
      </x:c>
      <x:c r="M6" s="5" t="s">
        <x:v>1665</x:v>
      </x:c>
      <x:c r="N6" s="5"/>
    </x:row>
    <x:row r="7" ht="29.049999237060547" customHeight="1">
      <x:c r="A7" s="3" t="s">
        <x:v>496</x:v>
      </x:c>
      <x:c r="B7" s="5" t="s">
        <x:v>497</x:v>
      </x:c>
      <x:c r="C7" s="5" t="s">
        <x:v>1666</x:v>
      </x:c>
      <x:c r="D7" s="3" t="s">
        <x:v>77</x:v>
      </x:c>
      <x:c r="E7" s="3" t="s">
        <x:v>83</x:v>
      </x:c>
      <x:c r="F7" s="5" t="s">
        <x:v>231</x:v>
      </x:c>
      <x:c r="G7" s="5" t="s">
        <x:v>1667</x:v>
      </x:c>
      <x:c r="H7" s="3"/>
      <x:c r="I7" s="3" t="s">
        <x:v>1668</x:v>
      </x:c>
      <x:c r="J7" s="3" t="s">
        <x:v>234</x:v>
      </x:c>
      <x:c r="K7" s="5" t="s">
        <x:v>1669</x:v>
      </x:c>
      <x:c r="L7" s="5" t="s">
        <x:v>1670</x:v>
      </x:c>
      <x:c r="M7" s="5" t="s">
        <x:v>1671</x:v>
      </x:c>
      <x:c r="N7" s="5" t="s">
        <x:v>499</x:v>
      </x:c>
    </x:row>
    <x:row r="8" ht="87.55000305175781" customHeight="1">
      <x:c r="A8" s="31" t="s">
        <x:v>882</x:v>
      </x:c>
      <x:c r="B8" s="82" t="s">
        <x:v>883</x:v>
      </x:c>
      <x:c r="C8" s="82" t="s">
        <x:v>1672</x:v>
      </x:c>
      <x:c r="D8" s="31" t="s">
        <x:v>77</x:v>
      </x:c>
      <x:c r="E8" s="31" t="s">
        <x:v>83</x:v>
      </x:c>
      <x:c r="F8" s="82" t="s">
        <x:v>231</x:v>
      </x:c>
      <x:c r="G8" s="82" t="s">
        <x:v>1673</x:v>
      </x:c>
      <x:c r="H8" s="31" t="s">
        <x:v>884</x:v>
      </x:c>
      <x:c r="I8" s="31" t="s">
        <x:v>1674</x:v>
      </x:c>
      <x:c r="J8" s="31" t="s">
        <x:v>885</x:v>
      </x:c>
      <x:c r="K8" s="82" t="s">
        <x:v>1675</x:v>
      </x:c>
      <x:c r="L8" s="82" t="s">
        <x:v>1676</x:v>
      </x:c>
      <x:c r="M8" s="82" t="s">
        <x:v>1677</x:v>
      </x:c>
      <x:c r="N8" s="82" t="s">
        <x:v>869</x:v>
      </x:c>
    </x:row>
  </x:sheetData>
  <x:conditionalFormatting sqref="D2:D9">
    <x:cfRule type="expression" dxfId="71" priority="5">
      <x:formula>D2="1차"</x:formula>
    </x:cfRule>
    <x:cfRule type="expression" dxfId="70" priority="6">
      <x:formula>D2="2차"</x:formula>
    </x:cfRule>
    <x:cfRule type="expression" dxfId="69" priority="7">
      <x:formula>D2="공통"</x:formula>
    </x:cfRule>
  </x:conditionalFormatting>
  <x:conditionalFormatting sqref="E2:E9">
    <x:cfRule type="expression" dxfId="68" priority="2">
      <x:formula>E2="M"</x:formula>
    </x:cfRule>
    <x:cfRule type="expression" dxfId="67" priority="3">
      <x:formula>E2="S"</x:formula>
    </x:cfRule>
    <x:cfRule type="expression" dxfId="66" priority="4">
      <x:formula>E2="C"</x:formula>
    </x:cfRule>
  </x:conditionalFormatting>
  <x:dataValidations count="3">
    <x:dataValidation type="list" sqref="D2:D9">
      <x:formula1>"1차,2차,공통"</x:formula1>
      <x:formula2>0</x:formula2>
    </x:dataValidation>
    <x:dataValidation type="list" sqref="E2:E9">
      <x:formula1>"M,S,C,W"</x:formula1>
      <x:formula2>0</x:formula2>
    </x:dataValidation>
    <x:dataValidation type="list" sqref="F2:F9">
      <x:formula1>"상,중,하,-"</x:formula1>
      <x:formula2>0</x:formula2>
    </x:dataValidation>
  </x:dataValidations>
  <x:pageMargins left="0.7" right="0.7" top="0.75" bottom="0.75" header="0.3" footer="0.3"/>
  <x:tableParts count="1">
    <x:tablePart xmlns:r="http://schemas.openxmlformats.org/officeDocument/2006/relationships" r:id="R111f991cfb9d4e28"/>
  </x:tableParts>
</x:worksheet>
</file>

<file path=xl/worksheets/sheet8.xml><?xml version="1.0" encoding="utf-8"?>
<x:worksheet xmlns:x="http://schemas.openxmlformats.org/spreadsheetml/2006/main">
  <x:sheetViews>
    <x:sheetView workbookViewId="0">
      <x:pane xSplit="2" ySplit="1" topLeftCell="C2" activePane="bottomRight" state="frozen"/>
    </x:sheetView>
  </x:sheetViews>
  <x:sheetFormatPr defaultColWidth="8.61328125" defaultRowHeight="12.449999809265137"/>
  <x:cols>
    <x:col min="1" max="1" width="18" customWidth="1"/>
    <x:col min="2" max="2" width="30" customWidth="1"/>
    <x:col min="3" max="3" width="38" customWidth="1"/>
    <x:col min="4" max="6" width="9" customWidth="1"/>
    <x:col min="7" max="7" width="50" customWidth="1"/>
    <x:col min="8" max="8" width="24" customWidth="1"/>
    <x:col min="9" max="9" width="31" customWidth="1"/>
    <x:col min="10" max="10" width="25" customWidth="1"/>
    <x:col min="11" max="11" width="50" customWidth="1"/>
    <x:col min="12" max="12" width="26" customWidth="1"/>
    <x:col min="13" max="13" width="40" customWidth="1"/>
    <x:col min="14" max="14" width="30" hidden="1" customWidth="1"/>
    <x:col min="15" max="15" width="8.61328125" customWidth="1"/>
  </x:cols>
  <x:sheetData>
    <x:row r="1" ht="14.050000190734863" customHeight="1">
      <x:c r="A1" s="2" t="s">
        <x:v>215</x:v>
      </x:c>
      <x:c r="B1" s="2" t="s">
        <x:v>216</x:v>
      </x:c>
      <x:c r="C1" s="2" t="s">
        <x:v>1180</x:v>
      </x:c>
      <x:c r="D1" s="2" t="s">
        <x:v>217</x:v>
      </x:c>
      <x:c r="E1" s="2" t="s">
        <x:v>219</x:v>
      </x:c>
      <x:c r="F1" s="2" t="s">
        <x:v>220</x:v>
      </x:c>
      <x:c r="G1" s="2" t="s">
        <x:v>1181</x:v>
      </x:c>
      <x:c r="H1" s="2" t="s">
        <x:v>224</x:v>
      </x:c>
      <x:c r="I1" s="2" t="s">
        <x:v>1182</x:v>
      </x:c>
      <x:c r="J1" s="2" t="s">
        <x:v>1183</x:v>
      </x:c>
      <x:c r="K1" s="2" t="s">
        <x:v>1184</x:v>
      </x:c>
      <x:c r="L1" s="2" t="s">
        <x:v>1185</x:v>
      </x:c>
      <x:c r="M1" s="2" t="s">
        <x:v>1186</x:v>
      </x:c>
      <x:c r="N1" s="2" t="s">
        <x:v>227</x:v>
      </x:c>
    </x:row>
    <x:row r="2" ht="29.049999237060547" customHeight="1">
      <x:c r="A2" s="3" t="s">
        <x:v>500</x:v>
      </x:c>
      <x:c r="B2" s="3" t="s">
        <x:v>501</x:v>
      </x:c>
      <x:c r="C2" s="3" t="s">
        <x:v>1678</x:v>
      </x:c>
      <x:c r="D2" s="3" t="s">
        <x:v>77</x:v>
      </x:c>
      <x:c r="E2" s="3" t="s">
        <x:v>74</x:v>
      </x:c>
      <x:c r="F2" s="1" t="s">
        <x:v>231</x:v>
      </x:c>
      <x:c r="G2" s="3" t="s">
        <x:v>1679</x:v>
      </x:c>
      <x:c r="H2" s="3"/>
      <x:c r="I2" s="3" t="s">
        <x:v>1680</x:v>
      </x:c>
      <x:c r="J2" s="3" t="s">
        <x:v>251</x:v>
      </x:c>
      <x:c r="K2" s="1" t="s">
        <x:v>1681</x:v>
      </x:c>
      <x:c r="L2" s="1" t="s">
        <x:v>1682</x:v>
      </x:c>
      <x:c r="M2" s="1" t="s">
        <x:v>1683</x:v>
      </x:c>
      <x:c r="N2" s="1"/>
    </x:row>
    <x:row r="3" ht="28" customHeight="1">
      <x:c r="A3" s="3" t="s">
        <x:v>503</x:v>
      </x:c>
      <x:c r="B3" s="3" t="s">
        <x:v>504</x:v>
      </x:c>
      <x:c r="C3" s="1" t="s">
        <x:v>1684</x:v>
      </x:c>
      <x:c r="D3" s="1" t="s">
        <x:v>86</x:v>
      </x:c>
      <x:c r="E3" s="3" t="s">
        <x:v>74</x:v>
      </x:c>
      <x:c r="F3" s="1" t="s">
        <x:v>250</x:v>
      </x:c>
      <x:c r="G3" s="1" t="s">
        <x:v>1685</x:v>
      </x:c>
      <x:c r="H3" s="3"/>
      <x:c r="I3" s="3" t="s">
        <x:v>1686</x:v>
      </x:c>
      <x:c r="J3" s="3" t="s">
        <x:v>251</x:v>
      </x:c>
      <x:c r="K3" s="1" t="s">
        <x:v>1687</x:v>
      </x:c>
      <x:c r="L3" s="1" t="s">
        <x:v>1688</x:v>
      </x:c>
      <x:c r="M3" s="1" t="s">
        <x:v>1689</x:v>
      </x:c>
      <x:c r="N3" s="1"/>
    </x:row>
    <x:row r="4" ht="28" customHeight="1">
      <x:c r="A4" s="3" t="s">
        <x:v>505</x:v>
      </x:c>
      <x:c r="B4" s="1" t="s">
        <x:v>506</x:v>
      </x:c>
      <x:c r="C4" s="1" t="s">
        <x:v>1690</x:v>
      </x:c>
      <x:c r="D4" s="1" t="s">
        <x:v>86</x:v>
      </x:c>
      <x:c r="E4" s="3" t="s">
        <x:v>74</x:v>
      </x:c>
      <x:c r="F4" s="1" t="s">
        <x:v>231</x:v>
      </x:c>
      <x:c r="G4" s="1" t="s">
        <x:v>1691</x:v>
      </x:c>
      <x:c r="H4" s="3"/>
      <x:c r="I4" s="3" t="s">
        <x:v>1692</x:v>
      </x:c>
      <x:c r="J4" s="3" t="s">
        <x:v>238</x:v>
      </x:c>
      <x:c r="K4" s="3" t="s">
        <x:v>1693</x:v>
      </x:c>
      <x:c r="L4" s="5" t="s">
        <x:v>1694</x:v>
      </x:c>
      <x:c r="M4" s="5" t="s">
        <x:v>1695</x:v>
      </x:c>
      <x:c r="N4" s="3"/>
    </x:row>
    <x:row r="5" ht="56.04999923706055" customHeight="1">
      <x:c r="A5" s="3" t="s">
        <x:v>508</x:v>
      </x:c>
      <x:c r="B5" s="3" t="s">
        <x:v>509</x:v>
      </x:c>
      <x:c r="C5" s="3" t="s">
        <x:v>1696</x:v>
      </x:c>
      <x:c r="D5" s="3" t="s">
        <x:v>69</x:v>
      </x:c>
      <x:c r="E5" s="3" t="s">
        <x:v>74</x:v>
      </x:c>
      <x:c r="F5" s="1" t="s">
        <x:v>237</x:v>
      </x:c>
      <x:c r="G5" s="1" t="s">
        <x:v>1697</x:v>
      </x:c>
      <x:c r="H5" s="3" t="s">
        <x:v>510</x:v>
      </x:c>
      <x:c r="I5" s="1" t="s">
        <x:v>1698</x:v>
      </x:c>
      <x:c r="J5" s="1" t="s">
        <x:v>511</x:v>
      </x:c>
      <x:c r="K5" s="1" t="s">
        <x:v>1699</x:v>
      </x:c>
      <x:c r="L5" s="1" t="s">
        <x:v>1700</x:v>
      </x:c>
      <x:c r="M5" s="1" t="s">
        <x:v>1701</x:v>
      </x:c>
      <x:c r="N5" s="1" t="s">
        <x:v>512</x:v>
      </x:c>
    </x:row>
    <x:row r="6" ht="28" customHeight="1">
      <x:c r="A6" s="3" t="s">
        <x:v>513</x:v>
      </x:c>
      <x:c r="B6" s="1" t="s">
        <x:v>514</x:v>
      </x:c>
      <x:c r="C6" s="1" t="s">
        <x:v>1702</x:v>
      </x:c>
      <x:c r="D6" s="1" t="s">
        <x:v>86</x:v>
      </x:c>
      <x:c r="E6" s="3" t="s">
        <x:v>74</x:v>
      </x:c>
      <x:c r="F6" s="1" t="s">
        <x:v>231</x:v>
      </x:c>
      <x:c r="G6" s="1" t="s">
        <x:v>1703</x:v>
      </x:c>
      <x:c r="H6" s="3"/>
      <x:c r="I6" s="1" t="s">
        <x:v>1704</x:v>
      </x:c>
      <x:c r="J6" s="3" t="s">
        <x:v>238</x:v>
      </x:c>
      <x:c r="K6" s="1" t="s">
        <x:v>1705</x:v>
      </x:c>
      <x:c r="L6" s="1" t="s">
        <x:v>1688</x:v>
      </x:c>
      <x:c r="M6" s="1" t="s">
        <x:v>1706</x:v>
      </x:c>
      <x:c r="N6" s="1"/>
    </x:row>
    <x:row r="7" ht="28" customHeight="1">
      <x:c r="A7" s="3" t="s">
        <x:v>515</x:v>
      </x:c>
      <x:c r="B7" s="1" t="s">
        <x:v>516</x:v>
      </x:c>
      <x:c r="C7" s="1" t="s">
        <x:v>1707</x:v>
      </x:c>
      <x:c r="D7" s="1" t="s">
        <x:v>86</x:v>
      </x:c>
      <x:c r="E7" s="3" t="s">
        <x:v>74</x:v>
      </x:c>
      <x:c r="F7" s="1" t="s">
        <x:v>250</x:v>
      </x:c>
      <x:c r="G7" s="1" t="s">
        <x:v>1708</x:v>
      </x:c>
      <x:c r="H7" s="3"/>
      <x:c r="I7" s="3" t="s">
        <x:v>1709</x:v>
      </x:c>
      <x:c r="J7" s="3" t="s">
        <x:v>251</x:v>
      </x:c>
      <x:c r="K7" s="1" t="s">
        <x:v>1710</x:v>
      </x:c>
      <x:c r="L7" s="1" t="s">
        <x:v>1688</x:v>
      </x:c>
      <x:c r="M7" s="1" t="s">
        <x:v>1711</x:v>
      </x:c>
      <x:c r="N7" s="1"/>
    </x:row>
    <x:row r="8" ht="87.55000305175781" customHeight="1">
      <x:c r="A8" s="31" t="s">
        <x:v>865</x:v>
      </x:c>
      <x:c r="B8" s="82" t="s">
        <x:v>866</x:v>
      </x:c>
      <x:c r="C8" s="82" t="s">
        <x:v>1712</x:v>
      </x:c>
      <x:c r="D8" s="82" t="s">
        <x:v>77</x:v>
      </x:c>
      <x:c r="E8" s="31" t="s">
        <x:v>74</x:v>
      </x:c>
      <x:c r="F8" s="82" t="s">
        <x:v>231</x:v>
      </x:c>
      <x:c r="G8" s="82" t="s">
        <x:v>1713</x:v>
      </x:c>
      <x:c r="H8" s="31" t="s">
        <x:v>867</x:v>
      </x:c>
      <x:c r="I8" s="31" t="s">
        <x:v>1714</x:v>
      </x:c>
      <x:c r="J8" s="31" t="s">
        <x:v>868</x:v>
      </x:c>
      <x:c r="K8" s="82" t="s">
        <x:v>1715</x:v>
      </x:c>
      <x:c r="L8" s="82" t="s">
        <x:v>1716</x:v>
      </x:c>
      <x:c r="M8" s="82" t="s">
        <x:v>1717</x:v>
      </x:c>
      <x:c r="N8" s="82" t="s">
        <x:v>869</x:v>
      </x:c>
    </x:row>
  </x:sheetData>
  <x:conditionalFormatting sqref="D2:D10">
    <x:cfRule type="expression" dxfId="65" priority="5">
      <x:formula>D2="1차"</x:formula>
    </x:cfRule>
    <x:cfRule type="expression" dxfId="64" priority="6">
      <x:formula>D2="2차"</x:formula>
    </x:cfRule>
    <x:cfRule type="expression" dxfId="63" priority="7">
      <x:formula>D2="공통"</x:formula>
    </x:cfRule>
  </x:conditionalFormatting>
  <x:conditionalFormatting sqref="E2:E10">
    <x:cfRule type="expression" dxfId="62" priority="2">
      <x:formula>E2="M"</x:formula>
    </x:cfRule>
    <x:cfRule type="expression" dxfId="61" priority="3">
      <x:formula>E2="S"</x:formula>
    </x:cfRule>
    <x:cfRule type="expression" dxfId="60" priority="4">
      <x:formula>E2="C"</x:formula>
    </x:cfRule>
  </x:conditionalFormatting>
  <x:dataValidations count="3">
    <x:dataValidation type="list" sqref="D2:D10">
      <x:formula1>"1차,2차,공통"</x:formula1>
      <x:formula2>0</x:formula2>
    </x:dataValidation>
    <x:dataValidation type="list" sqref="E2:E10">
      <x:formula1>"M,S,C,W"</x:formula1>
      <x:formula2>0</x:formula2>
    </x:dataValidation>
    <x:dataValidation type="list" sqref="F2:F10">
      <x:formula1>"상,중,하,-"</x:formula1>
      <x:formula2>0</x:formula2>
    </x:dataValidation>
  </x:dataValidations>
  <x:pageMargins left="0.7" right="0.7" top="0.75" bottom="0.75" header="0.3" footer="0.3"/>
  <x:tableParts count="1">
    <x:tablePart xmlns:r="http://schemas.openxmlformats.org/officeDocument/2006/relationships" r:id="Reaecb1e01c574d9d"/>
  </x:tableParts>
</x:worksheet>
</file>

<file path=xl/worksheets/sheet9.xml><?xml version="1.0" encoding="utf-8"?>
<x:worksheet xmlns:x="http://schemas.openxmlformats.org/spreadsheetml/2006/main">
  <x:sheetViews>
    <x:sheetView workbookViewId="0">
      <x:pane xSplit="2" ySplit="1" topLeftCell="C2" activePane="bottomRight" state="frozen"/>
    </x:sheetView>
  </x:sheetViews>
  <x:sheetFormatPr defaultColWidth="8.61328125" defaultRowHeight="12.449999809265137"/>
  <x:cols>
    <x:col min="1" max="1" width="18" customWidth="1"/>
    <x:col min="2" max="2" width="30" customWidth="1"/>
    <x:col min="3" max="3" width="61.3828125" customWidth="1"/>
    <x:col min="4" max="6" width="9" customWidth="1"/>
    <x:col min="7" max="7" width="50" customWidth="1"/>
    <x:col min="8" max="8" width="24" customWidth="1"/>
    <x:col min="9" max="9" width="31" customWidth="1"/>
    <x:col min="10" max="10" width="25" customWidth="1"/>
    <x:col min="11" max="11" width="50" customWidth="1"/>
    <x:col min="12" max="12" width="26" customWidth="1"/>
    <x:col min="13" max="13" width="40" customWidth="1"/>
    <x:col min="14" max="14" width="30" hidden="1" customWidth="1"/>
    <x:col min="15" max="15" width="8.61328125" customWidth="1"/>
  </x:cols>
  <x:sheetData>
    <x:row r="1" ht="14.050000190734863" customHeight="1">
      <x:c r="A1" s="2" t="s">
        <x:v>215</x:v>
      </x:c>
      <x:c r="B1" s="2" t="s">
        <x:v>216</x:v>
      </x:c>
      <x:c r="C1" s="2" t="s">
        <x:v>1180</x:v>
      </x:c>
      <x:c r="D1" s="2" t="s">
        <x:v>217</x:v>
      </x:c>
      <x:c r="E1" s="2" t="s">
        <x:v>219</x:v>
      </x:c>
      <x:c r="F1" s="2" t="s">
        <x:v>220</x:v>
      </x:c>
      <x:c r="G1" s="2" t="s">
        <x:v>1181</x:v>
      </x:c>
      <x:c r="H1" s="2" t="s">
        <x:v>224</x:v>
      </x:c>
      <x:c r="I1" s="2" t="s">
        <x:v>1182</x:v>
      </x:c>
      <x:c r="J1" s="2" t="s">
        <x:v>1183</x:v>
      </x:c>
      <x:c r="K1" s="2" t="s">
        <x:v>1184</x:v>
      </x:c>
      <x:c r="L1" s="2" t="s">
        <x:v>1185</x:v>
      </x:c>
      <x:c r="M1" s="2" t="s">
        <x:v>1186</x:v>
      </x:c>
      <x:c r="N1" s="2" t="s">
        <x:v>227</x:v>
      </x:c>
    </x:row>
    <x:row r="2" ht="182.0500030517578" customHeight="1">
      <x:c r="A2" s="3" t="s">
        <x:v>517</x:v>
      </x:c>
      <x:c r="B2" s="1" t="s">
        <x:v>518</x:v>
      </x:c>
      <x:c r="C2" s="30" t="s">
        <x:v>1718</x:v>
      </x:c>
      <x:c r="D2" s="30" t="s">
        <x:v>86</x:v>
      </x:c>
      <x:c r="E2" s="31" t="s">
        <x:v>74</x:v>
      </x:c>
      <x:c r="F2" s="30" t="s">
        <x:v>237</x:v>
      </x:c>
      <x:c r="G2" s="30" t="s">
        <x:v>1719</x:v>
      </x:c>
      <x:c r="H2" s="31"/>
      <x:c r="I2" s="30" t="s">
        <x:v>1720</x:v>
      </x:c>
      <x:c r="J2" s="31" t="s">
        <x:v>520</x:v>
      </x:c>
      <x:c r="K2" s="30" t="s">
        <x:v>1721</x:v>
      </x:c>
      <x:c r="L2" s="30" t="s">
        <x:v>1722</x:v>
      </x:c>
      <x:c r="M2" s="30" t="s">
        <x:v>1723</x:v>
      </x:c>
      <x:c r="N2" s="30" t="s">
        <x:v>521</x:v>
      </x:c>
    </x:row>
    <x:row r="3" ht="29.049999237060547" customHeight="1">
      <x:c r="A3" s="3" t="s">
        <x:v>522</x:v>
      </x:c>
      <x:c r="B3" s="1" t="s">
        <x:v>523</x:v>
      </x:c>
      <x:c r="C3" s="30" t="s">
        <x:v>1724</x:v>
      </x:c>
      <x:c r="D3" s="30" t="s">
        <x:v>86</x:v>
      </x:c>
      <x:c r="E3" s="31" t="s">
        <x:v>74</x:v>
      </x:c>
      <x:c r="F3" s="30" t="s">
        <x:v>237</x:v>
      </x:c>
      <x:c r="G3" s="31" t="s">
        <x:v>1725</x:v>
      </x:c>
      <x:c r="H3" s="31"/>
      <x:c r="I3" s="30" t="s">
        <x:v>1726</x:v>
      </x:c>
      <x:c r="J3" s="31" t="s">
        <x:v>234</x:v>
      </x:c>
      <x:c r="K3" s="30" t="s">
        <x:v>1727</x:v>
      </x:c>
      <x:c r="L3" s="30" t="s">
        <x:v>1688</x:v>
      </x:c>
      <x:c r="M3" s="30" t="s">
        <x:v>1728</x:v>
      </x:c>
      <x:c r="N3" s="30"/>
    </x:row>
    <x:row r="4" ht="70" customHeight="1">
      <x:c r="A4" s="3" t="s">
        <x:v>524</x:v>
      </x:c>
      <x:c r="B4" s="1" t="s">
        <x:v>525</x:v>
      </x:c>
      <x:c r="C4" s="30" t="s">
        <x:v>1729</x:v>
      </x:c>
      <x:c r="D4" s="30" t="s">
        <x:v>86</x:v>
      </x:c>
      <x:c r="E4" s="31" t="s">
        <x:v>74</x:v>
      </x:c>
      <x:c r="F4" s="30" t="s">
        <x:v>237</x:v>
      </x:c>
      <x:c r="G4" s="30" t="s">
        <x:v>1730</x:v>
      </x:c>
      <x:c r="H4" s="31"/>
      <x:c r="I4" s="30" t="s">
        <x:v>1731</x:v>
      </x:c>
      <x:c r="J4" s="31" t="s">
        <x:v>526</x:v>
      </x:c>
      <x:c r="K4" s="30" t="s">
        <x:v>1732</x:v>
      </x:c>
      <x:c r="L4" s="30" t="s">
        <x:v>1688</x:v>
      </x:c>
      <x:c r="M4" s="30" t="s">
        <x:v>1733</x:v>
      </x:c>
      <x:c r="N4" s="30" t="s">
        <x:v>527</x:v>
      </x:c>
    </x:row>
    <x:row r="5" ht="58" customHeight="1">
      <x:c r="A5" s="3" t="s">
        <x:v>528</x:v>
      </x:c>
      <x:c r="B5" s="1" t="s">
        <x:v>529</x:v>
      </x:c>
      <x:c r="C5" s="1" t="s">
        <x:v>1734</x:v>
      </x:c>
      <x:c r="D5" s="1" t="s">
        <x:v>86</x:v>
      </x:c>
      <x:c r="E5" s="3" t="s">
        <x:v>74</x:v>
      </x:c>
      <x:c r="F5" s="1" t="s">
        <x:v>237</x:v>
      </x:c>
      <x:c r="G5" s="1" t="s">
        <x:v>1735</x:v>
      </x:c>
      <x:c r="H5" s="3" t="s">
        <x:v>530</x:v>
      </x:c>
      <x:c r="I5" s="1" t="s">
        <x:v>1736</x:v>
      </x:c>
      <x:c r="J5" s="3" t="s">
        <x:v>234</x:v>
      </x:c>
      <x:c r="K5" s="1" t="s">
        <x:v>1737</x:v>
      </x:c>
      <x:c r="L5" s="1" t="s">
        <x:v>1688</x:v>
      </x:c>
      <x:c r="M5" s="1" t="s">
        <x:v>1738</x:v>
      </x:c>
      <x:c r="N5" s="1" t="s">
        <x:v>531</x:v>
      </x:c>
    </x:row>
    <x:row r="6" ht="28" customHeight="1">
      <x:c r="A6" s="3" t="s">
        <x:v>532</x:v>
      </x:c>
      <x:c r="B6" s="1" t="s">
        <x:v>533</x:v>
      </x:c>
      <x:c r="C6" s="1" t="s">
        <x:v>1739</x:v>
      </x:c>
      <x:c r="D6" s="1" t="s">
        <x:v>86</x:v>
      </x:c>
      <x:c r="E6" s="3" t="s">
        <x:v>74</x:v>
      </x:c>
      <x:c r="F6" s="1" t="s">
        <x:v>237</x:v>
      </x:c>
      <x:c r="G6" s="1" t="s">
        <x:v>1740</x:v>
      </x:c>
      <x:c r="H6" s="3"/>
      <x:c r="I6" s="3" t="s">
        <x:v>1741</x:v>
      </x:c>
      <x:c r="J6" s="3" t="s">
        <x:v>238</x:v>
      </x:c>
      <x:c r="K6" s="1" t="s">
        <x:v>1742</x:v>
      </x:c>
      <x:c r="L6" s="1" t="s">
        <x:v>1688</x:v>
      </x:c>
      <x:c r="M6" s="1" t="s">
        <x:v>1743</x:v>
      </x:c>
      <x:c r="N6" s="1"/>
    </x:row>
    <x:row r="7" ht="29.049999237060547" customHeight="1">
      <x:c r="A7" s="3" t="s">
        <x:v>534</x:v>
      </x:c>
      <x:c r="B7" s="1" t="s">
        <x:v>535</x:v>
      </x:c>
      <x:c r="C7" s="1" t="s">
        <x:v>1744</x:v>
      </x:c>
      <x:c r="D7" s="1" t="s">
        <x:v>86</x:v>
      </x:c>
      <x:c r="E7" s="3" t="s">
        <x:v>74</x:v>
      </x:c>
      <x:c r="F7" s="1" t="s">
        <x:v>231</x:v>
      </x:c>
      <x:c r="G7" s="3" t="s">
        <x:v>1745</x:v>
      </x:c>
      <x:c r="H7" s="3"/>
      <x:c r="I7" s="1" t="s">
        <x:v>1746</x:v>
      </x:c>
      <x:c r="J7" s="3" t="s">
        <x:v>537</x:v>
      </x:c>
      <x:c r="K7" s="1" t="s">
        <x:v>1747</x:v>
      </x:c>
      <x:c r="L7" s="1" t="s">
        <x:v>1688</x:v>
      </x:c>
      <x:c r="M7" s="1" t="s">
        <x:v>1748</x:v>
      </x:c>
      <x:c r="N7" s="1"/>
    </x:row>
    <x:row r="8" ht="28" customHeight="1">
      <x:c r="A8" s="3" t="s">
        <x:v>538</x:v>
      </x:c>
      <x:c r="B8" s="1" t="s">
        <x:v>539</x:v>
      </x:c>
      <x:c r="C8" s="1" t="s">
        <x:v>1749</x:v>
      </x:c>
      <x:c r="D8" s="1" t="s">
        <x:v>86</x:v>
      </x:c>
      <x:c r="E8" s="3" t="s">
        <x:v>74</x:v>
      </x:c>
      <x:c r="F8" s="1" t="s">
        <x:v>237</x:v>
      </x:c>
      <x:c r="G8" s="1" t="s">
        <x:v>1750</x:v>
      </x:c>
      <x:c r="H8" s="3"/>
      <x:c r="I8" s="1" t="s">
        <x:v>1751</x:v>
      </x:c>
      <x:c r="J8" s="3" t="s">
        <x:v>541</x:v>
      </x:c>
      <x:c r="K8" s="1" t="s">
        <x:v>1752</x:v>
      </x:c>
      <x:c r="L8" s="1" t="s">
        <x:v>1688</x:v>
      </x:c>
      <x:c r="M8" s="1" t="s">
        <x:v>1753</x:v>
      </x:c>
      <x:c r="N8" s="1" t="s">
        <x:v>1754</x:v>
      </x:c>
    </x:row>
    <x:row r="9" ht="28" customHeight="1">
      <x:c r="A9" s="3" t="s">
        <x:v>542</x:v>
      </x:c>
      <x:c r="B9" s="1" t="s">
        <x:v>543</x:v>
      </x:c>
      <x:c r="C9" s="1" t="s">
        <x:v>1755</x:v>
      </x:c>
      <x:c r="D9" s="3" t="s">
        <x:v>77</x:v>
      </x:c>
      <x:c r="E9" s="3" t="s">
        <x:v>83</x:v>
      </x:c>
      <x:c r="F9" s="1" t="s">
        <x:v>231</x:v>
      </x:c>
      <x:c r="G9" s="3" t="s">
        <x:v>1756</x:v>
      </x:c>
      <x:c r="H9" s="3"/>
      <x:c r="I9" s="1" t="s">
        <x:v>1757</x:v>
      </x:c>
      <x:c r="J9" s="3" t="s">
        <x:v>438</x:v>
      </x:c>
      <x:c r="K9" s="1" t="s">
        <x:v>1758</x:v>
      </x:c>
      <x:c r="L9" s="1" t="s">
        <x:v>1759</x:v>
      </x:c>
      <x:c r="M9" s="1" t="s">
        <x:v>1760</x:v>
      </x:c>
      <x:c r="N9" s="1"/>
    </x:row>
    <x:row r="10" ht="56.04999923706055" customHeight="1">
      <x:c r="A10" s="3" t="s">
        <x:v>545</x:v>
      </x:c>
      <x:c r="B10" s="1" t="s">
        <x:v>546</x:v>
      </x:c>
      <x:c r="C10" s="1" t="s">
        <x:v>1761</x:v>
      </x:c>
      <x:c r="D10" s="3" t="s">
        <x:v>69</x:v>
      </x:c>
      <x:c r="E10" s="3" t="s">
        <x:v>83</x:v>
      </x:c>
      <x:c r="F10" s="1" t="s">
        <x:v>231</x:v>
      </x:c>
      <x:c r="G10" s="1" t="s">
        <x:v>1762</x:v>
      </x:c>
      <x:c r="H10" s="3" t="s">
        <x:v>547</x:v>
      </x:c>
      <x:c r="I10" s="1" t="s">
        <x:v>1763</x:v>
      </x:c>
      <x:c r="J10" s="3" t="s">
        <x:v>238</x:v>
      </x:c>
      <x:c r="K10" s="1" t="s">
        <x:v>1764</x:v>
      </x:c>
      <x:c r="L10" s="1" t="s">
        <x:v>1765</x:v>
      </x:c>
      <x:c r="M10" s="1" t="s">
        <x:v>1766</x:v>
      </x:c>
      <x:c r="N10" s="1" t="s">
        <x:v>548</x:v>
      </x:c>
    </x:row>
    <x:row r="11" ht="140.0500030517578" customHeight="1">
      <x:c r="A11" s="3" t="s">
        <x:v>774</x:v>
      </x:c>
      <x:c r="B11" s="1" t="s">
        <x:v>775</x:v>
      </x:c>
      <x:c r="C11" s="30" t="s">
        <x:v>1767</x:v>
      </x:c>
      <x:c r="D11" s="31" t="s">
        <x:v>69</x:v>
      </x:c>
      <x:c r="E11" s="31" t="s">
        <x:v>74</x:v>
      </x:c>
      <x:c r="F11" s="30" t="s">
        <x:v>231</x:v>
      </x:c>
      <x:c r="G11" s="30" t="s">
        <x:v>1768</x:v>
      </x:c>
      <x:c r="H11" s="31" t="s">
        <x:v>776</x:v>
      </x:c>
      <x:c r="I11" s="30" t="s">
        <x:v>1769</x:v>
      </x:c>
      <x:c r="J11" s="31" t="s">
        <x:v>777</x:v>
      </x:c>
      <x:c r="K11" s="30" t="s">
        <x:v>1770</x:v>
      </x:c>
      <x:c r="L11" s="30" t="s">
        <x:v>1771</x:v>
      </x:c>
      <x:c r="M11" s="30" t="s">
        <x:v>1772</x:v>
      </x:c>
      <x:c r="N11" s="30" t="s">
        <x:v>778</x:v>
      </x:c>
    </x:row>
    <x:row r="12" ht="140.0500030517578" customHeight="1">
      <x:c r="A12" s="31" t="s">
        <x:v>870</x:v>
      </x:c>
      <x:c r="B12" s="82" t="s">
        <x:v>871</x:v>
      </x:c>
      <x:c r="C12" s="82" t="s">
        <x:v>1773</x:v>
      </x:c>
      <x:c r="D12" s="31" t="s">
        <x:v>77</x:v>
      </x:c>
      <x:c r="E12" s="31" t="s">
        <x:v>74</x:v>
      </x:c>
      <x:c r="F12" s="82" t="s">
        <x:v>237</x:v>
      </x:c>
      <x:c r="G12" s="82" t="s">
        <x:v>1774</x:v>
      </x:c>
      <x:c r="H12" s="31" t="s">
        <x:v>872</x:v>
      </x:c>
      <x:c r="I12" s="82" t="s">
        <x:v>1775</x:v>
      </x:c>
      <x:c r="J12" s="31" t="s">
        <x:v>873</x:v>
      </x:c>
      <x:c r="K12" s="82" t="s">
        <x:v>1776</x:v>
      </x:c>
      <x:c r="L12" s="82" t="s">
        <x:v>1777</x:v>
      </x:c>
      <x:c r="M12" s="82" t="s">
        <x:v>1778</x:v>
      </x:c>
      <x:c r="N12" s="82" t="s">
        <x:v>869</x:v>
      </x:c>
    </x:row>
  </x:sheetData>
  <x:conditionalFormatting sqref="D2:D12">
    <x:cfRule type="expression" dxfId="59" priority="5">
      <x:formula>D2="1차"</x:formula>
    </x:cfRule>
    <x:cfRule type="expression" dxfId="58" priority="6">
      <x:formula>D2="2차"</x:formula>
    </x:cfRule>
    <x:cfRule type="expression" dxfId="57" priority="7">
      <x:formula>D2="공통"</x:formula>
    </x:cfRule>
  </x:conditionalFormatting>
  <x:conditionalFormatting sqref="E2:E12">
    <x:cfRule type="expression" dxfId="56" priority="2">
      <x:formula>E2="M"</x:formula>
    </x:cfRule>
    <x:cfRule type="expression" dxfId="55" priority="3">
      <x:formula>E2="S"</x:formula>
    </x:cfRule>
    <x:cfRule type="expression" dxfId="54" priority="4">
      <x:formula>E2="C"</x:formula>
    </x:cfRule>
  </x:conditionalFormatting>
  <x:dataValidations count="3">
    <x:dataValidation type="list" sqref="D2:D12">
      <x:formula1>"1차,2차,공통"</x:formula1>
      <x:formula2>0</x:formula2>
    </x:dataValidation>
    <x:dataValidation type="list" sqref="E2:E12">
      <x:formula1>"M,S,C,W"</x:formula1>
      <x:formula2>0</x:formula2>
    </x:dataValidation>
    <x:dataValidation type="list" sqref="F2:F12">
      <x:formula1>"상,중,하,-"</x:formula1>
      <x:formula2>0</x:formula2>
    </x:dataValidation>
  </x:dataValidations>
  <x:pageMargins left="0.7" right="0.7" top="0.75" bottom="0.75" header="0.3" footer="0.3"/>
  <x:tableParts count="1">
    <x:tablePart xmlns:r="http://schemas.openxmlformats.org/officeDocument/2006/relationships" r:id="R71f6bd1d8efa4f17"/>
  </x:tableParts>
</x:worksheet>
</file>

<file path=xl/worksheets/sheet10.xml><?xml version="1.0" encoding="utf-8"?>
<x:worksheet xmlns:x="http://schemas.openxmlformats.org/spreadsheetml/2006/main">
  <x:sheetViews>
    <x:sheetView workbookViewId="0">
      <x:pane xSplit="2" ySplit="1" topLeftCell="C2" activePane="bottomRight" state="frozen"/>
    </x:sheetView>
  </x:sheetViews>
  <x:sheetFormatPr defaultColWidth="8.61328125" defaultRowHeight="14.149999618530273"/>
  <x:cols>
    <x:col min="1" max="1" width="12.15234375" style="78" customWidth="1"/>
    <x:col min="2" max="2" width="21.15234375" style="78" customWidth="1"/>
    <x:col min="3" max="3" width="84.15234375" style="78" customWidth="1"/>
    <x:col min="4" max="6" width="7.23046875" style="78" customWidth="1"/>
    <x:col min="7" max="7" width="122" style="78" customWidth="1"/>
    <x:col min="8" max="8" width="21.61328125" style="78" customWidth="1"/>
    <x:col min="9" max="9" width="45.921875" style="78" customWidth="1"/>
    <x:col min="10" max="10" width="21.15234375" style="78" customWidth="1"/>
    <x:col min="11" max="11" width="67.53515625" style="78" customWidth="1"/>
    <x:col min="12" max="12" width="25.4609375" style="78" customWidth="1"/>
    <x:col min="13" max="13" width="175.4609375" style="78" customWidth="1"/>
    <x:col min="14" max="14" width="177.61328125" style="78" customWidth="1"/>
    <x:col min="15" max="15" width="8.61328125" style="78" customWidth="1"/>
    <x:col min="16" max="16384" width="8.61328125" style="78" customWidth="0"/>
  </x:cols>
  <x:sheetData>
    <x:row r="1" ht="28" customHeight="1">
      <x:c r="A1" s="2" t="s">
        <x:v>215</x:v>
      </x:c>
      <x:c r="B1" s="2" t="s">
        <x:v>216</x:v>
      </x:c>
      <x:c r="C1" s="2" t="s">
        <x:v>1180</x:v>
      </x:c>
      <x:c r="D1" s="2" t="s">
        <x:v>217</x:v>
      </x:c>
      <x:c r="E1" s="2" t="s">
        <x:v>219</x:v>
      </x:c>
      <x:c r="F1" s="2" t="s">
        <x:v>220</x:v>
      </x:c>
      <x:c r="G1" s="2" t="s">
        <x:v>1181</x:v>
      </x:c>
      <x:c r="H1" s="2" t="s">
        <x:v>224</x:v>
      </x:c>
      <x:c r="I1" s="2" t="s">
        <x:v>1182</x:v>
      </x:c>
      <x:c r="J1" s="2" t="s">
        <x:v>1183</x:v>
      </x:c>
      <x:c r="K1" s="2" t="s">
        <x:v>1184</x:v>
      </x:c>
      <x:c r="L1" s="2" t="s">
        <x:v>1185</x:v>
      </x:c>
      <x:c r="M1" s="2" t="s">
        <x:v>1186</x:v>
      </x:c>
      <x:c r="N1" s="2" t="s">
        <x:v>227</x:v>
      </x:c>
    </x:row>
    <x:row r="2" ht="43.5" customHeight="1">
      <x:c r="A2" s="3" t="s">
        <x:v>549</x:v>
      </x:c>
      <x:c r="B2" s="3" t="s">
        <x:v>550</x:v>
      </x:c>
      <x:c r="C2" s="3" t="s">
        <x:v>1779</x:v>
      </x:c>
      <x:c r="D2" s="3" t="s">
        <x:v>69</x:v>
      </x:c>
      <x:c r="E2" s="3" t="s">
        <x:v>74</x:v>
      </x:c>
      <x:c r="F2" s="5" t="s">
        <x:v>231</x:v>
      </x:c>
      <x:c r="G2" s="3" t="s">
        <x:v>1780</x:v>
      </x:c>
      <x:c r="H2" s="3" t="s">
        <x:v>552</x:v>
      </x:c>
      <x:c r="I2" s="5" t="s">
        <x:v>1781</x:v>
      </x:c>
      <x:c r="J2" s="5" t="s">
        <x:v>511</x:v>
      </x:c>
      <x:c r="K2" s="3" t="s">
        <x:v>1782</x:v>
      </x:c>
      <x:c r="L2" s="3" t="s">
        <x:v>1783</x:v>
      </x:c>
      <x:c r="M2" s="5" t="s">
        <x:v>1784</x:v>
      </x:c>
      <x:c r="N2" s="5" t="s">
        <x:v>554</x:v>
      </x:c>
    </x:row>
    <x:row r="3" ht="43.5" customHeight="1">
      <x:c r="A3" s="3" t="s">
        <x:v>555</x:v>
      </x:c>
      <x:c r="B3" s="3" t="s">
        <x:v>556</x:v>
      </x:c>
      <x:c r="C3" s="3" t="s">
        <x:v>1785</x:v>
      </x:c>
      <x:c r="D3" s="3" t="s">
        <x:v>77</x:v>
      </x:c>
      <x:c r="E3" s="3" t="s">
        <x:v>74</x:v>
      </x:c>
      <x:c r="F3" s="5" t="s">
        <x:v>237</x:v>
      </x:c>
      <x:c r="G3" s="3" t="s">
        <x:v>1786</x:v>
      </x:c>
      <x:c r="H3" s="3" t="s">
        <x:v>557</x:v>
      </x:c>
      <x:c r="I3" s="5" t="s">
        <x:v>1787</x:v>
      </x:c>
      <x:c r="J3" s="5" t="s">
        <x:v>558</x:v>
      </x:c>
      <x:c r="K3" s="3" t="s">
        <x:v>1788</x:v>
      </x:c>
      <x:c r="L3" s="3" t="s">
        <x:v>1789</x:v>
      </x:c>
      <x:c r="M3" s="5" t="s">
        <x:v>1790</x:v>
      </x:c>
      <x:c r="N3" s="5" t="s">
        <x:v>1791</x:v>
      </x:c>
    </x:row>
    <x:row r="4" ht="14.5" customHeight="1">
      <x:c r="A4" s="3" t="s">
        <x:v>560</x:v>
      </x:c>
      <x:c r="B4" s="5" t="s">
        <x:v>561</x:v>
      </x:c>
      <x:c r="C4" s="5" t="s">
        <x:v>1792</x:v>
      </x:c>
      <x:c r="D4" s="5" t="s">
        <x:v>86</x:v>
      </x:c>
      <x:c r="E4" s="3" t="s">
        <x:v>74</x:v>
      </x:c>
      <x:c r="F4" s="5" t="s">
        <x:v>231</x:v>
      </x:c>
      <x:c r="G4" s="3" t="s">
        <x:v>1793</x:v>
      </x:c>
      <x:c r="H4" s="3"/>
      <x:c r="I4" s="3" t="s">
        <x:v>1794</x:v>
      </x:c>
      <x:c r="J4" s="3" t="s">
        <x:v>251</x:v>
      </x:c>
      <x:c r="K4" s="5" t="s">
        <x:v>1795</x:v>
      </x:c>
      <x:c r="L4" s="5" t="s">
        <x:v>1796</x:v>
      </x:c>
      <x:c r="M4" s="5" t="s">
        <x:v>1797</x:v>
      </x:c>
      <x:c r="N4" s="5" t="s">
        <x:v>1798</x:v>
      </x:c>
    </x:row>
    <x:row r="5" ht="29.049999237060547" customHeight="1">
      <x:c r="A5" s="3" t="s">
        <x:v>563</x:v>
      </x:c>
      <x:c r="B5" s="5" t="s">
        <x:v>564</x:v>
      </x:c>
      <x:c r="C5" s="5" t="s">
        <x:v>1799</x:v>
      </x:c>
      <x:c r="D5" s="5" t="s">
        <x:v>86</x:v>
      </x:c>
      <x:c r="E5" s="3" t="s">
        <x:v>74</x:v>
      </x:c>
      <x:c r="F5" s="5" t="s">
        <x:v>231</x:v>
      </x:c>
      <x:c r="G5" s="5" t="s">
        <x:v>1800</x:v>
      </x:c>
      <x:c r="H5" s="3"/>
      <x:c r="I5" s="5" t="s">
        <x:v>1801</x:v>
      </x:c>
      <x:c r="J5" s="5" t="s">
        <x:v>566</x:v>
      </x:c>
      <x:c r="K5" s="3" t="s">
        <x:v>1802</x:v>
      </x:c>
      <x:c r="L5" s="5" t="s">
        <x:v>1796</x:v>
      </x:c>
      <x:c r="M5" s="5" t="s">
        <x:v>1803</x:v>
      </x:c>
      <x:c r="N5" s="3"/>
    </x:row>
    <x:row r="6" ht="14.5" customHeight="1">
      <x:c r="A6" s="3" t="s">
        <x:v>567</x:v>
      </x:c>
      <x:c r="B6" s="5" t="s">
        <x:v>568</x:v>
      </x:c>
      <x:c r="C6" s="3" t="s">
        <x:v>1804</x:v>
      </x:c>
      <x:c r="D6" s="3" t="s">
        <x:v>77</x:v>
      </x:c>
      <x:c r="E6" s="3" t="s">
        <x:v>74</x:v>
      </x:c>
      <x:c r="F6" s="5" t="s">
        <x:v>237</x:v>
      </x:c>
      <x:c r="G6" s="3" t="s">
        <x:v>1805</x:v>
      </x:c>
      <x:c r="H6" s="3"/>
      <x:c r="I6" s="5" t="s">
        <x:v>1806</x:v>
      </x:c>
      <x:c r="J6" s="3" t="s">
        <x:v>569</x:v>
      </x:c>
      <x:c r="K6" s="5" t="s">
        <x:v>1807</x:v>
      </x:c>
      <x:c r="L6" s="5" t="s">
        <x:v>77</x:v>
      </x:c>
      <x:c r="M6" s="5" t="s">
        <x:v>1808</x:v>
      </x:c>
      <x:c r="N6" s="5" t="s">
        <x:v>1809</x:v>
      </x:c>
    </x:row>
    <x:row r="7" ht="14.5" customHeight="1">
      <x:c r="A7" s="3" t="s">
        <x:v>570</x:v>
      </x:c>
      <x:c r="B7" s="5" t="s">
        <x:v>571</x:v>
      </x:c>
      <x:c r="C7" s="5" t="s">
        <x:v>1810</x:v>
      </x:c>
      <x:c r="D7" s="3" t="s">
        <x:v>77</x:v>
      </x:c>
      <x:c r="E7" s="3" t="s">
        <x:v>83</x:v>
      </x:c>
      <x:c r="F7" s="5" t="s">
        <x:v>231</x:v>
      </x:c>
      <x:c r="G7" s="5" t="s">
        <x:v>1811</x:v>
      </x:c>
      <x:c r="H7" s="3" t="s">
        <x:v>573</x:v>
      </x:c>
      <x:c r="I7" s="5" t="s">
        <x:v>1812</x:v>
      </x:c>
      <x:c r="J7" s="3" t="s">
        <x:v>251</x:v>
      </x:c>
      <x:c r="K7" s="5" t="s">
        <x:v>1813</x:v>
      </x:c>
      <x:c r="L7" s="5" t="s">
        <x:v>77</x:v>
      </x:c>
      <x:c r="M7" s="5" t="s">
        <x:v>1814</x:v>
      </x:c>
      <x:c r="N7" s="5" t="s">
        <x:v>574</x:v>
      </x:c>
    </x:row>
    <x:row r="8" ht="14.5" customHeight="1">
      <x:c r="A8" s="3" t="s">
        <x:v>575</x:v>
      </x:c>
      <x:c r="B8" s="5" t="s">
        <x:v>576</x:v>
      </x:c>
      <x:c r="C8" s="5" t="s">
        <x:v>1815</x:v>
      </x:c>
      <x:c r="D8" s="3" t="s">
        <x:v>77</x:v>
      </x:c>
      <x:c r="E8" s="3" t="s">
        <x:v>83</x:v>
      </x:c>
      <x:c r="F8" s="5" t="s">
        <x:v>237</x:v>
      </x:c>
      <x:c r="G8" s="3" t="s">
        <x:v>1816</x:v>
      </x:c>
      <x:c r="H8" s="3"/>
      <x:c r="I8" s="5" t="s">
        <x:v>1817</x:v>
      </x:c>
      <x:c r="J8" s="3" t="s">
        <x:v>251</x:v>
      </x:c>
      <x:c r="K8" s="5" t="s">
        <x:v>1818</x:v>
      </x:c>
      <x:c r="L8" s="5" t="s">
        <x:v>1759</x:v>
      </x:c>
      <x:c r="M8" s="5" t="s">
        <x:v>1819</x:v>
      </x:c>
      <x:c r="N8" s="5" t="s">
        <x:v>577</x:v>
      </x:c>
    </x:row>
  </x:sheetData>
  <x:conditionalFormatting sqref="D2:D8">
    <x:cfRule type="expression" dxfId="53" priority="5">
      <x:formula>D2="1차"</x:formula>
    </x:cfRule>
    <x:cfRule type="expression" dxfId="52" priority="6">
      <x:formula>D2="2차"</x:formula>
    </x:cfRule>
    <x:cfRule type="expression" dxfId="51" priority="7">
      <x:formula>D2="공통"</x:formula>
    </x:cfRule>
  </x:conditionalFormatting>
  <x:conditionalFormatting sqref="E2:E8">
    <x:cfRule type="expression" dxfId="50" priority="2">
      <x:formula>E2="M"</x:formula>
    </x:cfRule>
    <x:cfRule type="expression" dxfId="49" priority="3">
      <x:formula>E2="S"</x:formula>
    </x:cfRule>
    <x:cfRule type="expression" dxfId="48" priority="4">
      <x:formula>E2="C"</x:formula>
    </x:cfRule>
  </x:conditionalFormatting>
  <x:dataValidations count="3">
    <x:dataValidation type="list" sqref="D2:D8">
      <x:formula1>"1차,2차,공통"</x:formula1>
      <x:formula2>0</x:formula2>
    </x:dataValidation>
    <x:dataValidation type="list" sqref="E2:E8">
      <x:formula1>"M,S,C,W"</x:formula1>
      <x:formula2>0</x:formula2>
    </x:dataValidation>
    <x:dataValidation type="list" sqref="F2:F8">
      <x:formula1>"상,중,하,-"</x:formula1>
      <x:formula2>0</x:formula2>
    </x:dataValidation>
  </x:dataValidations>
  <x:pageMargins left="0.7" right="0.7" top="0.75" bottom="0.75" header="0.3" footer="0.3"/>
  <x:tableParts count="1">
    <x:tablePart xmlns:r="http://schemas.openxmlformats.org/officeDocument/2006/relationships" r:id="Rae9ef2caee864fbe"/>
  </x:tableParts>
</x:worksheet>
</file>

<file path=xl/worksheets/sheet11.xml><?xml version="1.0" encoding="utf-8"?>
<x:worksheet xmlns:x="http://schemas.openxmlformats.org/spreadsheetml/2006/main">
  <x:sheetViews>
    <x:sheetView workbookViewId="0">
      <x:pane xSplit="2" ySplit="1" topLeftCell="C2" activePane="bottomRight" state="frozen"/>
    </x:sheetView>
  </x:sheetViews>
  <x:sheetFormatPr defaultColWidth="8.61328125" defaultRowHeight="12.449999809265137"/>
  <x:cols>
    <x:col min="1" max="1" width="18" customWidth="1"/>
    <x:col min="2" max="2" width="30" customWidth="1"/>
    <x:col min="3" max="3" width="38" customWidth="1"/>
    <x:col min="4" max="6" width="9" customWidth="1"/>
    <x:col min="7" max="7" width="50" customWidth="1"/>
    <x:col min="8" max="8" width="24" customWidth="1"/>
    <x:col min="9" max="9" width="31" customWidth="1"/>
    <x:col min="10" max="10" width="25" customWidth="1"/>
    <x:col min="11" max="11" width="50" customWidth="1"/>
    <x:col min="12" max="12" width="26" customWidth="1"/>
    <x:col min="13" max="13" width="40" customWidth="1"/>
    <x:col min="14" max="14" width="30" hidden="1" customWidth="1"/>
    <x:col min="15" max="15" width="8.61328125" customWidth="1"/>
  </x:cols>
  <x:sheetData>
    <x:row r="1" ht="14.050000190734863" customHeight="1">
      <x:c r="A1" s="2" t="s">
        <x:v>215</x:v>
      </x:c>
      <x:c r="B1" s="2" t="s">
        <x:v>216</x:v>
      </x:c>
      <x:c r="C1" s="2" t="s">
        <x:v>1180</x:v>
      </x:c>
      <x:c r="D1" s="2" t="s">
        <x:v>217</x:v>
      </x:c>
      <x:c r="E1" s="2" t="s">
        <x:v>219</x:v>
      </x:c>
      <x:c r="F1" s="2" t="s">
        <x:v>220</x:v>
      </x:c>
      <x:c r="G1" s="2" t="s">
        <x:v>1181</x:v>
      </x:c>
      <x:c r="H1" s="2" t="s">
        <x:v>224</x:v>
      </x:c>
      <x:c r="I1" s="2" t="s">
        <x:v>1182</x:v>
      </x:c>
      <x:c r="J1" s="2" t="s">
        <x:v>1183</x:v>
      </x:c>
      <x:c r="K1" s="2" t="s">
        <x:v>1184</x:v>
      </x:c>
      <x:c r="L1" s="2" t="s">
        <x:v>1185</x:v>
      </x:c>
      <x:c r="M1" s="2" t="s">
        <x:v>1186</x:v>
      </x:c>
      <x:c r="N1" s="2" t="s">
        <x:v>227</x:v>
      </x:c>
    </x:row>
    <x:row r="2" ht="29.049999237060547" customHeight="1">
      <x:c r="A2" s="3" t="s">
        <x:v>578</x:v>
      </x:c>
      <x:c r="B2" s="1" t="s">
        <x:v>579</x:v>
      </x:c>
      <x:c r="C2" s="1" t="s">
        <x:v>1820</x:v>
      </x:c>
      <x:c r="D2" s="1" t="s">
        <x:v>86</x:v>
      </x:c>
      <x:c r="E2" s="3" t="s">
        <x:v>74</x:v>
      </x:c>
      <x:c r="F2" s="1" t="s">
        <x:v>231</x:v>
      </x:c>
      <x:c r="G2" s="1" t="s">
        <x:v>1821</x:v>
      </x:c>
      <x:c r="H2" s="3"/>
      <x:c r="I2" s="1" t="s">
        <x:v>1822</x:v>
      </x:c>
      <x:c r="J2" s="3" t="s">
        <x:v>238</x:v>
      </x:c>
      <x:c r="K2" s="3" t="s">
        <x:v>1823</x:v>
      </x:c>
      <x:c r="L2" s="5" t="s">
        <x:v>1796</x:v>
      </x:c>
      <x:c r="M2" s="5" t="s">
        <x:v>1824</x:v>
      </x:c>
      <x:c r="N2" s="3"/>
    </x:row>
    <x:row r="3" ht="42" customHeight="1">
      <x:c r="A3" s="3" t="s">
        <x:v>582</x:v>
      </x:c>
      <x:c r="B3" s="1" t="s">
        <x:v>583</x:v>
      </x:c>
      <x:c r="C3" s="1" t="s">
        <x:v>1825</x:v>
      </x:c>
      <x:c r="D3" s="1" t="s">
        <x:v>86</x:v>
      </x:c>
      <x:c r="E3" s="3" t="s">
        <x:v>74</x:v>
      </x:c>
      <x:c r="F3" s="1" t="s">
        <x:v>237</x:v>
      </x:c>
      <x:c r="G3" s="1" t="s">
        <x:v>1826</x:v>
      </x:c>
      <x:c r="H3" s="3" t="s">
        <x:v>584</x:v>
      </x:c>
      <x:c r="I3" s="1" t="s">
        <x:v>1827</x:v>
      </x:c>
      <x:c r="J3" s="3" t="s">
        <x:v>234</x:v>
      </x:c>
      <x:c r="K3" s="1" t="s">
        <x:v>1828</x:v>
      </x:c>
      <x:c r="L3" s="1" t="s">
        <x:v>1829</x:v>
      </x:c>
      <x:c r="M3" s="1" t="s">
        <x:v>1830</x:v>
      </x:c>
      <x:c r="N3" s="1" t="s">
        <x:v>1831</x:v>
      </x:c>
    </x:row>
    <x:row r="4" ht="56.04999923706055" customHeight="1">
      <x:c r="A4" s="3" t="s">
        <x:v>586</x:v>
      </x:c>
      <x:c r="B4" s="3" t="s">
        <x:v>587</x:v>
      </x:c>
      <x:c r="C4" s="1" t="s">
        <x:v>1832</x:v>
      </x:c>
      <x:c r="D4" s="1" t="s">
        <x:v>86</x:v>
      </x:c>
      <x:c r="E4" s="3" t="s">
        <x:v>74</x:v>
      </x:c>
      <x:c r="F4" s="1" t="s">
        <x:v>237</x:v>
      </x:c>
      <x:c r="G4" s="1" t="s">
        <x:v>1833</x:v>
      </x:c>
      <x:c r="H4" s="3" t="s">
        <x:v>589</x:v>
      </x:c>
      <x:c r="I4" s="3" t="s">
        <x:v>1834</x:v>
      </x:c>
      <x:c r="J4" s="3" t="s">
        <x:v>590</x:v>
      </x:c>
      <x:c r="K4" s="1" t="s">
        <x:v>1835</x:v>
      </x:c>
      <x:c r="L4" s="1" t="s">
        <x:v>1836</x:v>
      </x:c>
      <x:c r="M4" s="1" t="s">
        <x:v>1837</x:v>
      </x:c>
      <x:c r="N4" s="1" t="s">
        <x:v>591</x:v>
      </x:c>
    </x:row>
    <x:row r="5" ht="58" customHeight="1">
      <x:c r="A5" s="3" t="s">
        <x:v>592</x:v>
      </x:c>
      <x:c r="B5" s="1" t="s">
        <x:v>593</x:v>
      </x:c>
      <x:c r="C5" s="1" t="s">
        <x:v>1838</x:v>
      </x:c>
      <x:c r="D5" s="3" t="s">
        <x:v>69</x:v>
      </x:c>
      <x:c r="E5" s="3" t="s">
        <x:v>74</x:v>
      </x:c>
      <x:c r="F5" s="1" t="s">
        <x:v>231</x:v>
      </x:c>
      <x:c r="G5" s="3" t="s">
        <x:v>1839</x:v>
      </x:c>
      <x:c r="H5" s="3" t="s">
        <x:v>594</x:v>
      </x:c>
      <x:c r="I5" s="1" t="s">
        <x:v>1840</x:v>
      </x:c>
      <x:c r="J5" s="3" t="s">
        <x:v>251</x:v>
      </x:c>
      <x:c r="K5" s="3" t="s">
        <x:v>1841</x:v>
      </x:c>
      <x:c r="L5" s="3" t="s">
        <x:v>1842</x:v>
      </x:c>
      <x:c r="M5" s="3" t="s">
        <x:v>1843</x:v>
      </x:c>
      <x:c r="N5" s="3" t="s">
        <x:v>595</x:v>
      </x:c>
    </x:row>
    <x:row r="6" ht="29.049999237060547" customHeight="1">
      <x:c r="A6" s="3" t="s">
        <x:v>596</x:v>
      </x:c>
      <x:c r="B6" s="3" t="s">
        <x:v>597</x:v>
      </x:c>
      <x:c r="C6" s="3" t="s">
        <x:v>1844</x:v>
      </x:c>
      <x:c r="D6" s="1" t="s">
        <x:v>86</x:v>
      </x:c>
      <x:c r="E6" s="3" t="s">
        <x:v>74</x:v>
      </x:c>
      <x:c r="F6" s="1" t="s">
        <x:v>231</x:v>
      </x:c>
      <x:c r="G6" s="3" t="s">
        <x:v>1845</x:v>
      </x:c>
      <x:c r="H6" s="3"/>
      <x:c r="I6" s="3" t="s">
        <x:v>1846</x:v>
      </x:c>
      <x:c r="J6" s="1" t="s">
        <x:v>566</x:v>
      </x:c>
      <x:c r="K6" s="1" t="s">
        <x:v>1847</x:v>
      </x:c>
      <x:c r="L6" s="1" t="s">
        <x:v>1796</x:v>
      </x:c>
      <x:c r="M6" s="1" t="s">
        <x:v>1848</x:v>
      </x:c>
      <x:c r="N6" s="1"/>
    </x:row>
    <x:row r="7" ht="58" customHeight="1">
      <x:c r="A7" s="3" t="s">
        <x:v>598</x:v>
      </x:c>
      <x:c r="B7" s="3" t="s">
        <x:v>599</x:v>
      </x:c>
      <x:c r="C7" s="1" t="s">
        <x:v>1849</x:v>
      </x:c>
      <x:c r="D7" s="3" t="s">
        <x:v>69</x:v>
      </x:c>
      <x:c r="E7" s="3" t="s">
        <x:v>83</x:v>
      </x:c>
      <x:c r="F7" s="1" t="s">
        <x:v>237</x:v>
      </x:c>
      <x:c r="G7" s="3" t="s">
        <x:v>1850</x:v>
      </x:c>
      <x:c r="H7" s="3" t="s">
        <x:v>601</x:v>
      </x:c>
      <x:c r="I7" s="3" t="s">
        <x:v>1851</x:v>
      </x:c>
      <x:c r="J7" s="3" t="s">
        <x:v>251</x:v>
      </x:c>
      <x:c r="K7" s="1" t="s">
        <x:v>1852</x:v>
      </x:c>
      <x:c r="L7" s="1" t="s">
        <x:v>1853</x:v>
      </x:c>
      <x:c r="M7" s="1" t="s">
        <x:v>1854</x:v>
      </x:c>
      <x:c r="N7" s="1" t="s">
        <x:v>602</x:v>
      </x:c>
    </x:row>
    <x:row r="8" ht="42" customHeight="1">
      <x:c r="A8" s="3" t="s">
        <x:v>603</x:v>
      </x:c>
      <x:c r="B8" s="1" t="s">
        <x:v>604</x:v>
      </x:c>
      <x:c r="C8" s="1" t="s">
        <x:v>1855</x:v>
      </x:c>
      <x:c r="D8" s="1" t="s">
        <x:v>86</x:v>
      </x:c>
      <x:c r="E8" s="3" t="s">
        <x:v>74</x:v>
      </x:c>
      <x:c r="F8" s="1" t="s">
        <x:v>237</x:v>
      </x:c>
      <x:c r="G8" s="1" t="s">
        <x:v>1856</x:v>
      </x:c>
      <x:c r="H8" s="3"/>
      <x:c r="I8" s="1" t="s">
        <x:v>1857</x:v>
      </x:c>
      <x:c r="J8" s="3" t="s">
        <x:v>234</x:v>
      </x:c>
      <x:c r="K8" s="1" t="s">
        <x:v>1858</x:v>
      </x:c>
      <x:c r="L8" s="1" t="s">
        <x:v>1859</x:v>
      </x:c>
      <x:c r="M8" s="1" t="s">
        <x:v>1860</x:v>
      </x:c>
      <x:c r="N8" s="1" t="s">
        <x:v>606</x:v>
      </x:c>
    </x:row>
    <x:row r="9" ht="28" customHeight="1">
      <x:c r="A9" s="3" t="s">
        <x:v>607</x:v>
      </x:c>
      <x:c r="B9" s="1" t="s">
        <x:v>608</x:v>
      </x:c>
      <x:c r="C9" s="1" t="s">
        <x:v>1861</x:v>
      </x:c>
      <x:c r="D9" s="3" t="s">
        <x:v>77</x:v>
      </x:c>
      <x:c r="E9" s="3" t="s">
        <x:v>74</x:v>
      </x:c>
      <x:c r="F9" s="1" t="s">
        <x:v>237</x:v>
      </x:c>
      <x:c r="G9" s="5" t="s">
        <x:v>1862</x:v>
      </x:c>
      <x:c r="H9" s="3"/>
      <x:c r="I9" s="1" t="s">
        <x:v>1863</x:v>
      </x:c>
      <x:c r="J9" s="3" t="s">
        <x:v>251</x:v>
      </x:c>
      <x:c r="K9" s="1" t="s">
        <x:v>1864</x:v>
      </x:c>
      <x:c r="L9" s="1" t="s">
        <x:v>77</x:v>
      </x:c>
      <x:c r="M9" s="1" t="s">
        <x:v>1865</x:v>
      </x:c>
      <x:c r="N9" s="1" t="s">
        <x:v>609</x:v>
      </x:c>
    </x:row>
    <x:row r="10" ht="43.5" customHeight="1">
      <x:c r="A10" s="3" t="s">
        <x:v>610</x:v>
      </x:c>
      <x:c r="B10" s="1" t="s">
        <x:v>611</x:v>
      </x:c>
      <x:c r="C10" s="1" t="s">
        <x:v>1866</x:v>
      </x:c>
      <x:c r="D10" s="1" t="s">
        <x:v>86</x:v>
      </x:c>
      <x:c r="E10" s="3" t="s">
        <x:v>74</x:v>
      </x:c>
      <x:c r="F10" s="1" t="s">
        <x:v>237</x:v>
      </x:c>
      <x:c r="G10" s="3" t="s">
        <x:v>1867</x:v>
      </x:c>
      <x:c r="H10" s="3"/>
      <x:c r="I10" s="1" t="s">
        <x:v>1868</x:v>
      </x:c>
      <x:c r="J10" s="3" t="s">
        <x:v>238</x:v>
      </x:c>
      <x:c r="K10" s="3" t="s">
        <x:v>1869</x:v>
      </x:c>
      <x:c r="L10" s="5" t="s">
        <x:v>86</x:v>
      </x:c>
      <x:c r="M10" s="3" t="s">
        <x:v>1870</x:v>
      </x:c>
      <x:c r="N10" s="3" t="s">
        <x:v>613</x:v>
      </x:c>
    </x:row>
    <x:row r="11" ht="58" customHeight="1">
      <x:c r="A11" s="3" t="s">
        <x:v>614</x:v>
      </x:c>
      <x:c r="B11" s="1" t="s">
        <x:v>615</x:v>
      </x:c>
      <x:c r="C11" s="3" t="s">
        <x:v>1871</x:v>
      </x:c>
      <x:c r="D11" s="1" t="s">
        <x:v>86</x:v>
      </x:c>
      <x:c r="E11" s="3" t="s">
        <x:v>74</x:v>
      </x:c>
      <x:c r="F11" s="1" t="s">
        <x:v>231</x:v>
      </x:c>
      <x:c r="G11" s="3" t="s">
        <x:v>1872</x:v>
      </x:c>
      <x:c r="H11" s="3" t="s">
        <x:v>616</x:v>
      </x:c>
      <x:c r="I11" s="1" t="s">
        <x:v>1873</x:v>
      </x:c>
      <x:c r="J11" s="3" t="s">
        <x:v>251</x:v>
      </x:c>
      <x:c r="K11" s="1" t="s">
        <x:v>1874</x:v>
      </x:c>
      <x:c r="L11" s="1" t="s">
        <x:v>1875</x:v>
      </x:c>
      <x:c r="M11" s="1" t="s">
        <x:v>1876</x:v>
      </x:c>
      <x:c r="N11" s="1" t="s">
        <x:v>617</x:v>
      </x:c>
    </x:row>
    <x:row r="12" ht="87.55000305175781" customHeight="1">
      <x:c r="A12" s="31" t="s">
        <x:v>878</x:v>
      </x:c>
      <x:c r="B12" s="82" t="s">
        <x:v>879</x:v>
      </x:c>
      <x:c r="C12" s="31" t="s">
        <x:v>1877</x:v>
      </x:c>
      <x:c r="D12" s="82" t="s">
        <x:v>77</x:v>
      </x:c>
      <x:c r="E12" s="31" t="s">
        <x:v>74</x:v>
      </x:c>
      <x:c r="F12" s="82" t="s">
        <x:v>237</x:v>
      </x:c>
      <x:c r="G12" s="31" t="s">
        <x:v>1878</x:v>
      </x:c>
      <x:c r="H12" s="31" t="s">
        <x:v>880</x:v>
      </x:c>
      <x:c r="I12" s="82" t="s">
        <x:v>1879</x:v>
      </x:c>
      <x:c r="J12" s="31" t="s">
        <x:v>881</x:v>
      </x:c>
      <x:c r="K12" s="82" t="s">
        <x:v>1880</x:v>
      </x:c>
      <x:c r="L12" s="82" t="s">
        <x:v>1881</x:v>
      </x:c>
      <x:c r="M12" s="82" t="s">
        <x:v>1882</x:v>
      </x:c>
      <x:c r="N12" s="82" t="s">
        <x:v>869</x:v>
      </x:c>
    </x:row>
  </x:sheetData>
  <x:conditionalFormatting sqref="D2:D12">
    <x:cfRule type="expression" dxfId="47" priority="5">
      <x:formula>D2="1차"</x:formula>
    </x:cfRule>
    <x:cfRule type="expression" dxfId="46" priority="6">
      <x:formula>D2="2차"</x:formula>
    </x:cfRule>
    <x:cfRule type="expression" dxfId="45" priority="7">
      <x:formula>D2="공통"</x:formula>
    </x:cfRule>
  </x:conditionalFormatting>
  <x:conditionalFormatting sqref="E2:E12">
    <x:cfRule type="expression" dxfId="44" priority="2">
      <x:formula>E2="M"</x:formula>
    </x:cfRule>
    <x:cfRule type="expression" dxfId="43" priority="3">
      <x:formula>E2="S"</x:formula>
    </x:cfRule>
    <x:cfRule type="expression" dxfId="42" priority="4">
      <x:formula>E2="C"</x:formula>
    </x:cfRule>
  </x:conditionalFormatting>
  <x:dataValidations count="3">
    <x:dataValidation type="list" sqref="D2:D12">
      <x:formula1>"1차,2차,공통"</x:formula1>
      <x:formula2>0</x:formula2>
    </x:dataValidation>
    <x:dataValidation type="list" sqref="E2:E12">
      <x:formula1>"M,S,C,W"</x:formula1>
      <x:formula2>0</x:formula2>
    </x:dataValidation>
    <x:dataValidation type="list" sqref="F2:F12">
      <x:formula1>"상,중,하,-"</x:formula1>
      <x:formula2>0</x:formula2>
    </x:dataValidation>
  </x:dataValidations>
  <x:pageMargins left="0.7" right="0.7" top="0.75" bottom="0.75" header="0.3" footer="0.3"/>
  <x:tableParts count="1">
    <x:tablePart xmlns:r="http://schemas.openxmlformats.org/officeDocument/2006/relationships" r:id="Rc733ae481eda43dd"/>
  </x:tableParts>
</x:worksheet>
</file>

<file path=xl/worksheets/sheet12.xml><?xml version="1.0" encoding="utf-8"?>
<x:worksheet xmlns:x="http://schemas.openxmlformats.org/spreadsheetml/2006/main">
  <x:sheetViews>
    <x:sheetView workbookViewId="0">
      <x:pane xSplit="2" ySplit="1" topLeftCell="C2" activePane="bottomRight" state="frozen"/>
    </x:sheetView>
  </x:sheetViews>
  <x:sheetFormatPr defaultColWidth="8.61328125" defaultRowHeight="12.449999809265137"/>
  <x:cols>
    <x:col min="1" max="1" width="18" customWidth="1"/>
    <x:col min="2" max="2" width="30" customWidth="1"/>
    <x:col min="3" max="3" width="38" customWidth="1"/>
    <x:col min="4" max="6" width="9" customWidth="1"/>
    <x:col min="7" max="7" width="50" customWidth="1"/>
    <x:col min="8" max="8" width="24" hidden="1" customWidth="1"/>
    <x:col min="9" max="9" width="31" customWidth="1"/>
    <x:col min="10" max="10" width="25" customWidth="1"/>
    <x:col min="11" max="11" width="50" customWidth="1"/>
    <x:col min="12" max="12" width="26" customWidth="1"/>
    <x:col min="13" max="13" width="40" customWidth="1"/>
    <x:col min="14" max="14" width="30" hidden="1" customWidth="1"/>
    <x:col min="15" max="15" width="8.61328125" customWidth="1"/>
  </x:cols>
  <x:sheetData>
    <x:row r="1" ht="14.050000190734863" customHeight="1">
      <x:c r="A1" s="2" t="s">
        <x:v>215</x:v>
      </x:c>
      <x:c r="B1" s="2" t="s">
        <x:v>216</x:v>
      </x:c>
      <x:c r="C1" s="2" t="s">
        <x:v>1180</x:v>
      </x:c>
      <x:c r="D1" s="2" t="s">
        <x:v>217</x:v>
      </x:c>
      <x:c r="E1" s="2" t="s">
        <x:v>219</x:v>
      </x:c>
      <x:c r="F1" s="2" t="s">
        <x:v>220</x:v>
      </x:c>
      <x:c r="G1" s="2" t="s">
        <x:v>1181</x:v>
      </x:c>
      <x:c r="H1" s="2" t="s">
        <x:v>224</x:v>
      </x:c>
      <x:c r="I1" s="2" t="s">
        <x:v>1182</x:v>
      </x:c>
      <x:c r="J1" s="2" t="s">
        <x:v>1183</x:v>
      </x:c>
      <x:c r="K1" s="2" t="s">
        <x:v>1184</x:v>
      </x:c>
      <x:c r="L1" s="2" t="s">
        <x:v>1185</x:v>
      </x:c>
      <x:c r="M1" s="2" t="s">
        <x:v>1186</x:v>
      </x:c>
      <x:c r="N1" s="2" t="s">
        <x:v>227</x:v>
      </x:c>
    </x:row>
    <x:row r="2" ht="28" customHeight="1">
      <x:c r="A2" s="3" t="s">
        <x:v>618</x:v>
      </x:c>
      <x:c r="B2" s="1" t="s">
        <x:v>619</x:v>
      </x:c>
      <x:c r="C2" s="1" t="s">
        <x:v>1883</x:v>
      </x:c>
      <x:c r="D2" s="1" t="s">
        <x:v>86</x:v>
      </x:c>
      <x:c r="E2" s="3" t="s">
        <x:v>74</x:v>
      </x:c>
      <x:c r="F2" s="1" t="s">
        <x:v>231</x:v>
      </x:c>
      <x:c r="G2" s="1" t="s">
        <x:v>1884</x:v>
      </x:c>
      <x:c r="H2" s="3"/>
      <x:c r="I2" s="1" t="s">
        <x:v>1885</x:v>
      </x:c>
      <x:c r="J2" s="3" t="s">
        <x:v>238</x:v>
      </x:c>
      <x:c r="K2" s="3" t="s">
        <x:v>1886</x:v>
      </x:c>
      <x:c r="L2" s="5" t="s">
        <x:v>1688</x:v>
      </x:c>
      <x:c r="M2" s="3" t="s">
        <x:v>1887</x:v>
      </x:c>
      <x:c r="N2" s="3"/>
    </x:row>
    <x:row r="3" ht="28" customHeight="1">
      <x:c r="A3" s="3" t="s">
        <x:v>621</x:v>
      </x:c>
      <x:c r="B3" s="1" t="s">
        <x:v>622</x:v>
      </x:c>
      <x:c r="C3" s="1" t="s">
        <x:v>1888</x:v>
      </x:c>
      <x:c r="D3" s="1" t="s">
        <x:v>86</x:v>
      </x:c>
      <x:c r="E3" s="3" t="s">
        <x:v>74</x:v>
      </x:c>
      <x:c r="F3" s="1" t="s">
        <x:v>237</x:v>
      </x:c>
      <x:c r="G3" s="1" t="s">
        <x:v>1889</x:v>
      </x:c>
      <x:c r="H3" s="3"/>
      <x:c r="I3" s="1" t="s">
        <x:v>1890</x:v>
      </x:c>
      <x:c r="J3" s="3" t="s">
        <x:v>238</x:v>
      </x:c>
      <x:c r="K3" s="1" t="s">
        <x:v>1891</x:v>
      </x:c>
      <x:c r="L3" s="1" t="s">
        <x:v>1796</x:v>
      </x:c>
      <x:c r="M3" s="1" t="s">
        <x:v>1892</x:v>
      </x:c>
      <x:c r="N3" s="1"/>
    </x:row>
    <x:row r="4" ht="29.049999237060547" customHeight="1">
      <x:c r="A4" s="3" t="s">
        <x:v>624</x:v>
      </x:c>
      <x:c r="B4" s="1" t="s">
        <x:v>625</x:v>
      </x:c>
      <x:c r="C4" s="1" t="s">
        <x:v>1893</x:v>
      </x:c>
      <x:c r="D4" s="1" t="s">
        <x:v>86</x:v>
      </x:c>
      <x:c r="E4" s="3" t="s">
        <x:v>74</x:v>
      </x:c>
      <x:c r="F4" s="1" t="s">
        <x:v>231</x:v>
      </x:c>
      <x:c r="G4" s="3" t="s">
        <x:v>1894</x:v>
      </x:c>
      <x:c r="H4" s="3"/>
      <x:c r="I4" s="1" t="s">
        <x:v>1895</x:v>
      </x:c>
      <x:c r="J4" s="3" t="s">
        <x:v>626</x:v>
      </x:c>
      <x:c r="K4" s="1" t="s">
        <x:v>1896</x:v>
      </x:c>
      <x:c r="L4" s="1" t="s">
        <x:v>1688</x:v>
      </x:c>
      <x:c r="M4" s="1" t="s">
        <x:v>1897</x:v>
      </x:c>
      <x:c r="N4" s="1" t="s">
        <x:v>1898</x:v>
      </x:c>
    </x:row>
    <x:row r="5" ht="43.5" customHeight="1">
      <x:c r="A5" s="3" t="s">
        <x:v>627</x:v>
      </x:c>
      <x:c r="B5" s="1" t="s">
        <x:v>628</x:v>
      </x:c>
      <x:c r="C5" s="1" t="s">
        <x:v>1899</x:v>
      </x:c>
      <x:c r="D5" s="1" t="s">
        <x:v>86</x:v>
      </x:c>
      <x:c r="E5" s="3" t="s">
        <x:v>74</x:v>
      </x:c>
      <x:c r="F5" s="1" t="s">
        <x:v>237</x:v>
      </x:c>
      <x:c r="G5" s="5" t="s">
        <x:v>1900</x:v>
      </x:c>
      <x:c r="H5" s="3"/>
      <x:c r="I5" s="1" t="s">
        <x:v>1901</x:v>
      </x:c>
      <x:c r="J5" s="3" t="s">
        <x:v>238</x:v>
      </x:c>
      <x:c r="K5" s="1" t="s">
        <x:v>1902</x:v>
      </x:c>
      <x:c r="L5" s="1" t="s">
        <x:v>1688</x:v>
      </x:c>
      <x:c r="M5" s="1" t="s">
        <x:v>1903</x:v>
      </x:c>
      <x:c r="N5" s="1" t="s">
        <x:v>630</x:v>
      </x:c>
    </x:row>
    <x:row r="6" ht="42" customHeight="1">
      <x:c r="A6" s="3" t="s">
        <x:v>631</x:v>
      </x:c>
      <x:c r="B6" s="1" t="s">
        <x:v>632</x:v>
      </x:c>
      <x:c r="C6" s="1" t="s">
        <x:v>1904</x:v>
      </x:c>
      <x:c r="D6" s="1" t="s">
        <x:v>77</x:v>
      </x:c>
      <x:c r="E6" s="3" t="s">
        <x:v>74</x:v>
      </x:c>
      <x:c r="F6" s="1" t="s">
        <x:v>237</x:v>
      </x:c>
      <x:c r="G6" s="1" t="s">
        <x:v>1905</x:v>
      </x:c>
      <x:c r="H6" s="3"/>
      <x:c r="I6" s="1" t="s">
        <x:v>1906</x:v>
      </x:c>
      <x:c r="J6" s="3" t="s">
        <x:v>238</x:v>
      </x:c>
      <x:c r="K6" s="1" t="s">
        <x:v>1907</x:v>
      </x:c>
      <x:c r="L6" s="1" t="s">
        <x:v>1908</x:v>
      </x:c>
      <x:c r="M6" s="1" t="s">
        <x:v>1909</x:v>
      </x:c>
      <x:c r="N6" s="1" t="s">
        <x:v>633</x:v>
      </x:c>
    </x:row>
    <x:row r="7" ht="28" customHeight="1">
      <x:c r="A7" s="3" t="s">
        <x:v>634</x:v>
      </x:c>
      <x:c r="B7" s="1" t="s">
        <x:v>635</x:v>
      </x:c>
      <x:c r="C7" s="1" t="s">
        <x:v>1910</x:v>
      </x:c>
      <x:c r="D7" s="1" t="s">
        <x:v>86</x:v>
      </x:c>
      <x:c r="E7" s="3" t="s">
        <x:v>74</x:v>
      </x:c>
      <x:c r="F7" s="1" t="s">
        <x:v>231</x:v>
      </x:c>
      <x:c r="G7" s="1" t="s">
        <x:v>1911</x:v>
      </x:c>
      <x:c r="H7" s="3"/>
      <x:c r="I7" s="1" t="s">
        <x:v>1912</x:v>
      </x:c>
      <x:c r="J7" s="3" t="s">
        <x:v>438</x:v>
      </x:c>
      <x:c r="K7" s="1" t="s">
        <x:v>1913</x:v>
      </x:c>
      <x:c r="L7" s="1" t="s">
        <x:v>1688</x:v>
      </x:c>
      <x:c r="M7" s="1" t="s">
        <x:v>1914</x:v>
      </x:c>
      <x:c r="N7" s="1"/>
    </x:row>
    <x:row r="8" ht="29.049999237060547" customHeight="1">
      <x:c r="A8" s="3" t="s">
        <x:v>637</x:v>
      </x:c>
      <x:c r="B8" s="1" t="s">
        <x:v>638</x:v>
      </x:c>
      <x:c r="C8" s="1" t="s">
        <x:v>1915</x:v>
      </x:c>
      <x:c r="D8" s="3" t="s">
        <x:v>77</x:v>
      </x:c>
      <x:c r="E8" s="3" t="s">
        <x:v>74</x:v>
      </x:c>
      <x:c r="F8" s="1" t="s">
        <x:v>231</x:v>
      </x:c>
      <x:c r="G8" s="3" t="s">
        <x:v>1916</x:v>
      </x:c>
      <x:c r="H8" s="3"/>
      <x:c r="I8" s="1" t="s">
        <x:v>1917</x:v>
      </x:c>
      <x:c r="J8" s="3" t="s">
        <x:v>251</x:v>
      </x:c>
      <x:c r="K8" s="3" t="s">
        <x:v>1918</x:v>
      </x:c>
      <x:c r="L8" s="3" t="s">
        <x:v>1919</x:v>
      </x:c>
      <x:c r="M8" s="3" t="s">
        <x:v>1920</x:v>
      </x:c>
      <x:c r="N8" s="3"/>
    </x:row>
    <x:row r="9" ht="29.049999237060547" customHeight="1">
      <x:c r="A9" s="3" t="s">
        <x:v>640</x:v>
      </x:c>
      <x:c r="B9" s="1" t="s">
        <x:v>641</x:v>
      </x:c>
      <x:c r="C9" s="3" t="s">
        <x:v>1921</x:v>
      </x:c>
      <x:c r="D9" s="1" t="s">
        <x:v>86</x:v>
      </x:c>
      <x:c r="E9" s="3" t="s">
        <x:v>74</x:v>
      </x:c>
      <x:c r="F9" s="1" t="s">
        <x:v>231</x:v>
      </x:c>
      <x:c r="G9" s="1" t="s">
        <x:v>1922</x:v>
      </x:c>
      <x:c r="H9" s="3"/>
      <x:c r="I9" s="1" t="s">
        <x:v>1923</x:v>
      </x:c>
      <x:c r="J9" s="1" t="s">
        <x:v>566</x:v>
      </x:c>
      <x:c r="K9" s="1" t="s">
        <x:v>1924</x:v>
      </x:c>
      <x:c r="L9" s="1" t="s">
        <x:v>1796</x:v>
      </x:c>
      <x:c r="M9" s="1" t="s">
        <x:v>1925</x:v>
      </x:c>
      <x:c r="N9" s="1"/>
    </x:row>
    <x:row r="10" ht="28" customHeight="1">
      <x:c r="A10" s="3" t="s">
        <x:v>642</x:v>
      </x:c>
      <x:c r="B10" s="1" t="s">
        <x:v>643</x:v>
      </x:c>
      <x:c r="C10" s="1" t="s">
        <x:v>1926</x:v>
      </x:c>
      <x:c r="D10" s="1" t="s">
        <x:v>86</x:v>
      </x:c>
      <x:c r="E10" s="3" t="s">
        <x:v>74</x:v>
      </x:c>
      <x:c r="F10" s="1" t="s">
        <x:v>231</x:v>
      </x:c>
      <x:c r="G10" s="1" t="s">
        <x:v>1927</x:v>
      </x:c>
      <x:c r="H10" s="3"/>
      <x:c r="I10" s="1" t="s">
        <x:v>1928</x:v>
      </x:c>
      <x:c r="J10" s="3" t="s">
        <x:v>238</x:v>
      </x:c>
      <x:c r="K10" s="1" t="s">
        <x:v>1929</x:v>
      </x:c>
      <x:c r="L10" s="1" t="s">
        <x:v>1796</x:v>
      </x:c>
      <x:c r="M10" s="1" t="s">
        <x:v>1930</x:v>
      </x:c>
      <x:c r="N10" s="1"/>
    </x:row>
    <x:row r="11" ht="29.049999237060547" customHeight="1">
      <x:c r="A11" s="3" t="s">
        <x:v>644</x:v>
      </x:c>
      <x:c r="B11" s="1" t="s">
        <x:v>645</x:v>
      </x:c>
      <x:c r="C11" s="1" t="s">
        <x:v>1931</x:v>
      </x:c>
      <x:c r="D11" s="1" t="s">
        <x:v>86</x:v>
      </x:c>
      <x:c r="E11" s="3" t="s">
        <x:v>74</x:v>
      </x:c>
      <x:c r="F11" s="1" t="s">
        <x:v>231</x:v>
      </x:c>
      <x:c r="G11" s="3" t="s">
        <x:v>1932</x:v>
      </x:c>
      <x:c r="H11" s="3"/>
      <x:c r="I11" s="3" t="s">
        <x:v>1933</x:v>
      </x:c>
      <x:c r="J11" s="3" t="s">
        <x:v>238</x:v>
      </x:c>
      <x:c r="K11" s="3" t="s">
        <x:v>1934</x:v>
      </x:c>
      <x:c r="L11" s="5" t="s">
        <x:v>1935</x:v>
      </x:c>
      <x:c r="M11" s="3" t="s">
        <x:v>1936</x:v>
      </x:c>
      <x:c r="N11" s="3"/>
    </x:row>
    <x:row r="12" ht="28" customHeight="1">
      <x:c r="A12" s="3" t="s">
        <x:v>646</x:v>
      </x:c>
      <x:c r="B12" s="1" t="s">
        <x:v>647</x:v>
      </x:c>
      <x:c r="C12" s="1" t="s">
        <x:v>1937</x:v>
      </x:c>
      <x:c r="D12" s="3" t="s">
        <x:v>77</x:v>
      </x:c>
      <x:c r="E12" s="3" t="s">
        <x:v>95</x:v>
      </x:c>
      <x:c r="F12" s="1" t="s">
        <x:v>237</x:v>
      </x:c>
      <x:c r="G12" s="3" t="s">
        <x:v>1938</x:v>
      </x:c>
      <x:c r="H12" s="3"/>
      <x:c r="I12" s="1" t="s">
        <x:v>1939</x:v>
      </x:c>
      <x:c r="J12" s="3" t="s">
        <x:v>251</x:v>
      </x:c>
      <x:c r="K12" s="1" t="s">
        <x:v>1940</x:v>
      </x:c>
      <x:c r="L12" s="1" t="s">
        <x:v>1941</x:v>
      </x:c>
      <x:c r="M12" s="1" t="s">
        <x:v>1942</x:v>
      </x:c>
      <x:c r="N12" s="1" t="s">
        <x:v>648</x:v>
      </x:c>
    </x:row>
    <x:row r="13" ht="28" customHeight="1">
      <x:c r="A13" s="3" t="s">
        <x:v>649</x:v>
      </x:c>
      <x:c r="B13" s="1" t="s">
        <x:v>650</x:v>
      </x:c>
      <x:c r="C13" s="1" t="s">
        <x:v>1943</x:v>
      </x:c>
      <x:c r="D13" s="3" t="s">
        <x:v>77</x:v>
      </x:c>
      <x:c r="E13" s="3" t="s">
        <x:v>83</x:v>
      </x:c>
      <x:c r="F13" s="1" t="s">
        <x:v>231</x:v>
      </x:c>
      <x:c r="G13" s="1" t="s">
        <x:v>1944</x:v>
      </x:c>
      <x:c r="H13" s="3"/>
      <x:c r="I13" s="1" t="s">
        <x:v>1945</x:v>
      </x:c>
      <x:c r="J13" s="3" t="s">
        <x:v>251</x:v>
      </x:c>
      <x:c r="K13" s="1" t="s">
        <x:v>1946</x:v>
      </x:c>
      <x:c r="L13" s="1" t="s">
        <x:v>1947</x:v>
      </x:c>
      <x:c r="M13" s="1" t="s">
        <x:v>1948</x:v>
      </x:c>
      <x:c r="N13" s="1"/>
    </x:row>
    <x:row r="14" ht="87.55000305175781" customHeight="1">
      <x:c r="A14" s="31" t="s">
        <x:v>874</x:v>
      </x:c>
      <x:c r="B14" s="82" t="s">
        <x:v>875</x:v>
      </x:c>
      <x:c r="C14" s="82" t="s">
        <x:v>1949</x:v>
      </x:c>
      <x:c r="D14" s="31" t="s">
        <x:v>77</x:v>
      </x:c>
      <x:c r="E14" s="31" t="s">
        <x:v>74</x:v>
      </x:c>
      <x:c r="F14" s="82" t="s">
        <x:v>237</x:v>
      </x:c>
      <x:c r="G14" s="82" t="s">
        <x:v>1950</x:v>
      </x:c>
      <x:c r="H14" s="31" t="s">
        <x:v>876</x:v>
      </x:c>
      <x:c r="I14" s="82" t="s">
        <x:v>1951</x:v>
      </x:c>
      <x:c r="J14" s="31" t="s">
        <x:v>877</x:v>
      </x:c>
      <x:c r="K14" s="82" t="s">
        <x:v>1952</x:v>
      </x:c>
      <x:c r="L14" s="82" t="s">
        <x:v>1953</x:v>
      </x:c>
      <x:c r="M14" s="82" t="s">
        <x:v>1954</x:v>
      </x:c>
      <x:c r="N14" s="82" t="s">
        <x:v>869</x:v>
      </x:c>
    </x:row>
  </x:sheetData>
  <x:conditionalFormatting sqref="D2:D14">
    <x:cfRule type="expression" dxfId="41" priority="5">
      <x:formula>D2="1차"</x:formula>
    </x:cfRule>
    <x:cfRule type="expression" dxfId="40" priority="6">
      <x:formula>D2="2차"</x:formula>
    </x:cfRule>
    <x:cfRule type="expression" dxfId="39" priority="7">
      <x:formula>D2="공통"</x:formula>
    </x:cfRule>
  </x:conditionalFormatting>
  <x:conditionalFormatting sqref="E2:E14">
    <x:cfRule type="expression" dxfId="38" priority="2">
      <x:formula>E2="M"</x:formula>
    </x:cfRule>
    <x:cfRule type="expression" dxfId="37" priority="3">
      <x:formula>E2="S"</x:formula>
    </x:cfRule>
    <x:cfRule type="expression" dxfId="36" priority="4">
      <x:formula>E2="C"</x:formula>
    </x:cfRule>
  </x:conditionalFormatting>
  <x:dataValidations count="3">
    <x:dataValidation type="list" sqref="D2:D14">
      <x:formula1>"1차,2차,공통"</x:formula1>
      <x:formula2>0</x:formula2>
    </x:dataValidation>
    <x:dataValidation type="list" sqref="E2:E14">
      <x:formula1>"M,S,C,W"</x:formula1>
      <x:formula2>0</x:formula2>
    </x:dataValidation>
    <x:dataValidation type="list" sqref="F2:F14">
      <x:formula1>"상,중,하,-"</x:formula1>
      <x:formula2>0</x:formula2>
    </x:dataValidation>
  </x:dataValidations>
  <x:pageMargins left="0.7" right="0.7" top="0.75" bottom="0.75" header="0.3" footer="0.3"/>
  <x:tableParts count="1">
    <x:tablePart xmlns:r="http://schemas.openxmlformats.org/officeDocument/2006/relationships" r:id="R26c9c37b3c6441cb"/>
  </x:tableParts>
</x:worksheet>
</file>

<file path=xl/worksheets/sheet13.xml><?xml version="1.0" encoding="utf-8"?>
<x:worksheet xmlns:x="http://schemas.openxmlformats.org/spreadsheetml/2006/main">
  <x:sheetViews>
    <x:sheetView workbookViewId="0">
      <x:pane xSplit="2" ySplit="1" topLeftCell="C2" activePane="bottomRight" state="frozen"/>
    </x:sheetView>
  </x:sheetViews>
  <x:sheetFormatPr defaultColWidth="8.61328125" defaultRowHeight="12.449999809265137"/>
  <x:cols>
    <x:col min="1" max="1" width="18" customWidth="1"/>
    <x:col min="2" max="2" width="30" customWidth="1"/>
    <x:col min="3" max="3" width="38" customWidth="1"/>
    <x:col min="4" max="6" width="9" customWidth="1"/>
    <x:col min="7" max="7" width="50" customWidth="1"/>
    <x:col min="8" max="8" width="24" hidden="1" customWidth="1"/>
    <x:col min="9" max="9" width="31" customWidth="1"/>
    <x:col min="10" max="10" width="25" customWidth="1"/>
    <x:col min="11" max="11" width="50" customWidth="1"/>
    <x:col min="12" max="12" width="26" customWidth="1"/>
    <x:col min="13" max="13" width="40" customWidth="1"/>
    <x:col min="14" max="14" width="30" hidden="1" customWidth="1"/>
    <x:col min="15" max="15" width="8.61328125" customWidth="1"/>
  </x:cols>
  <x:sheetData>
    <x:row r="1" ht="14.050000190734863" customHeight="1">
      <x:c r="A1" s="2" t="s">
        <x:v>215</x:v>
      </x:c>
      <x:c r="B1" s="2" t="s">
        <x:v>216</x:v>
      </x:c>
      <x:c r="C1" s="2" t="s">
        <x:v>1180</x:v>
      </x:c>
      <x:c r="D1" s="2" t="s">
        <x:v>217</x:v>
      </x:c>
      <x:c r="E1" s="2" t="s">
        <x:v>219</x:v>
      </x:c>
      <x:c r="F1" s="2" t="s">
        <x:v>220</x:v>
      </x:c>
      <x:c r="G1" s="2" t="s">
        <x:v>1181</x:v>
      </x:c>
      <x:c r="H1" s="2" t="s">
        <x:v>224</x:v>
      </x:c>
      <x:c r="I1" s="2" t="s">
        <x:v>1182</x:v>
      </x:c>
      <x:c r="J1" s="2" t="s">
        <x:v>1183</x:v>
      </x:c>
      <x:c r="K1" s="2" t="s">
        <x:v>1184</x:v>
      </x:c>
      <x:c r="L1" s="2" t="s">
        <x:v>1185</x:v>
      </x:c>
      <x:c r="M1" s="2" t="s">
        <x:v>1186</x:v>
      </x:c>
      <x:c r="N1" s="2" t="s">
        <x:v>227</x:v>
      </x:c>
    </x:row>
    <x:row r="2" ht="28" customHeight="1">
      <x:c r="A2" s="3" t="s">
        <x:v>652</x:v>
      </x:c>
      <x:c r="B2" s="1" t="s">
        <x:v>653</x:v>
      </x:c>
      <x:c r="C2" s="1" t="s">
        <x:v>1955</x:v>
      </x:c>
      <x:c r="D2" s="1" t="s">
        <x:v>86</x:v>
      </x:c>
      <x:c r="E2" s="3" t="s">
        <x:v>74</x:v>
      </x:c>
      <x:c r="F2" s="1" t="s">
        <x:v>231</x:v>
      </x:c>
      <x:c r="G2" s="1" t="s">
        <x:v>1956</x:v>
      </x:c>
      <x:c r="H2" s="3"/>
      <x:c r="I2" s="3" t="s">
        <x:v>1957</x:v>
      </x:c>
      <x:c r="J2" s="3" t="s">
        <x:v>238</x:v>
      </x:c>
      <x:c r="K2" s="1" t="s">
        <x:v>1958</x:v>
      </x:c>
      <x:c r="L2" s="1" t="s">
        <x:v>1796</x:v>
      </x:c>
      <x:c r="M2" s="1" t="s">
        <x:v>1959</x:v>
      </x:c>
      <x:c r="N2" s="1"/>
    </x:row>
    <x:row r="3" ht="56.04999923706055" customHeight="1">
      <x:c r="A3" s="3" t="s">
        <x:v>656</x:v>
      </x:c>
      <x:c r="B3" s="1" t="s">
        <x:v>657</x:v>
      </x:c>
      <x:c r="C3" s="1" t="s">
        <x:v>1960</x:v>
      </x:c>
      <x:c r="D3" s="1" t="s">
        <x:v>86</x:v>
      </x:c>
      <x:c r="E3" s="3" t="s">
        <x:v>74</x:v>
      </x:c>
      <x:c r="F3" s="1" t="s">
        <x:v>237</x:v>
      </x:c>
      <x:c r="G3" s="3" t="s">
        <x:v>1961</x:v>
      </x:c>
      <x:c r="H3" s="3"/>
      <x:c r="I3" s="1" t="s">
        <x:v>1962</x:v>
      </x:c>
      <x:c r="J3" s="3" t="s">
        <x:v>234</x:v>
      </x:c>
      <x:c r="K3" s="1" t="s">
        <x:v>1963</x:v>
      </x:c>
      <x:c r="L3" s="1" t="s">
        <x:v>1964</x:v>
      </x:c>
      <x:c r="M3" s="1" t="s">
        <x:v>1965</x:v>
      </x:c>
      <x:c r="N3" s="1" t="s">
        <x:v>1966</x:v>
      </x:c>
    </x:row>
    <x:row r="4" ht="29.049999237060547" customHeight="1">
      <x:c r="A4" s="3" t="s">
        <x:v>660</x:v>
      </x:c>
      <x:c r="B4" s="1" t="s">
        <x:v>661</x:v>
      </x:c>
      <x:c r="C4" s="3" t="s">
        <x:v>1967</x:v>
      </x:c>
      <x:c r="D4" s="1" t="s">
        <x:v>86</x:v>
      </x:c>
      <x:c r="E4" s="3" t="s">
        <x:v>74</x:v>
      </x:c>
      <x:c r="F4" s="1" t="s">
        <x:v>231</x:v>
      </x:c>
      <x:c r="G4" s="1" t="s">
        <x:v>1968</x:v>
      </x:c>
      <x:c r="H4" s="3"/>
      <x:c r="I4" s="1" t="s">
        <x:v>1969</x:v>
      </x:c>
      <x:c r="J4" s="3" t="s">
        <x:v>238</x:v>
      </x:c>
      <x:c r="K4" s="1" t="s">
        <x:v>1970</x:v>
      </x:c>
      <x:c r="L4" s="1" t="s">
        <x:v>1688</x:v>
      </x:c>
      <x:c r="M4" s="1" t="s">
        <x:v>1971</x:v>
      </x:c>
      <x:c r="N4" s="1"/>
    </x:row>
    <x:row r="5" ht="28" customHeight="1">
      <x:c r="A5" s="3" t="s">
        <x:v>663</x:v>
      </x:c>
      <x:c r="B5" s="3" t="s">
        <x:v>664</x:v>
      </x:c>
      <x:c r="C5" s="1" t="s">
        <x:v>1972</x:v>
      </x:c>
      <x:c r="D5" s="1" t="s">
        <x:v>86</x:v>
      </x:c>
      <x:c r="E5" s="3" t="s">
        <x:v>74</x:v>
      </x:c>
      <x:c r="F5" s="1" t="s">
        <x:v>250</x:v>
      </x:c>
      <x:c r="G5" s="1" t="s">
        <x:v>1973</x:v>
      </x:c>
      <x:c r="H5" s="3"/>
      <x:c r="I5" s="3" t="s">
        <x:v>1974</x:v>
      </x:c>
      <x:c r="J5" s="1" t="s">
        <x:v>566</x:v>
      </x:c>
      <x:c r="K5" s="3" t="s">
        <x:v>1975</x:v>
      </x:c>
      <x:c r="L5" s="5" t="s">
        <x:v>1688</x:v>
      </x:c>
      <x:c r="M5" s="3" t="s">
        <x:v>1976</x:v>
      </x:c>
      <x:c r="N5" s="3"/>
    </x:row>
    <x:row r="6" ht="29.049999237060547" customHeight="1">
      <x:c r="A6" s="3" t="s">
        <x:v>666</x:v>
      </x:c>
      <x:c r="B6" s="1" t="s">
        <x:v>667</x:v>
      </x:c>
      <x:c r="C6" s="1" t="s">
        <x:v>1977</x:v>
      </x:c>
      <x:c r="D6" s="1" t="s">
        <x:v>86</x:v>
      </x:c>
      <x:c r="E6" s="3" t="s">
        <x:v>74</x:v>
      </x:c>
      <x:c r="F6" s="1" t="s">
        <x:v>231</x:v>
      </x:c>
      <x:c r="G6" s="3" t="s">
        <x:v>1978</x:v>
      </x:c>
      <x:c r="H6" s="3"/>
      <x:c r="I6" s="1" t="s">
        <x:v>1979</x:v>
      </x:c>
      <x:c r="J6" s="3" t="s">
        <x:v>251</x:v>
      </x:c>
      <x:c r="K6" s="1" t="s">
        <x:v>1980</x:v>
      </x:c>
      <x:c r="L6" s="1" t="s">
        <x:v>1688</x:v>
      </x:c>
      <x:c r="M6" s="1" t="s">
        <x:v>1981</x:v>
      </x:c>
      <x:c r="N6" s="1"/>
    </x:row>
    <x:row r="7" ht="42" customHeight="1">
      <x:c r="A7" s="3" t="s">
        <x:v>669</x:v>
      </x:c>
      <x:c r="B7" s="1" t="s">
        <x:v>670</x:v>
      </x:c>
      <x:c r="C7" s="1" t="s">
        <x:v>1982</x:v>
      </x:c>
      <x:c r="D7" s="1" t="s">
        <x:v>86</x:v>
      </x:c>
      <x:c r="E7" s="3" t="s">
        <x:v>74</x:v>
      </x:c>
      <x:c r="F7" s="1" t="s">
        <x:v>237</x:v>
      </x:c>
      <x:c r="G7" s="1" t="s">
        <x:v>1983</x:v>
      </x:c>
      <x:c r="H7" s="3"/>
      <x:c r="I7" s="1" t="s">
        <x:v>1984</x:v>
      </x:c>
      <x:c r="J7" s="3" t="s">
        <x:v>438</x:v>
      </x:c>
      <x:c r="K7" s="1" t="s">
        <x:v>1985</x:v>
      </x:c>
      <x:c r="L7" s="1" t="s">
        <x:v>1796</x:v>
      </x:c>
      <x:c r="M7" s="1" t="s">
        <x:v>1986</x:v>
      </x:c>
      <x:c r="N7" s="1" t="s">
        <x:v>672</x:v>
      </x:c>
    </x:row>
    <x:row r="8" ht="28" customHeight="1">
      <x:c r="A8" s="3" t="s">
        <x:v>673</x:v>
      </x:c>
      <x:c r="B8" s="1" t="s">
        <x:v>674</x:v>
      </x:c>
      <x:c r="C8" s="1" t="s">
        <x:v>1987</x:v>
      </x:c>
      <x:c r="D8" s="1" t="s">
        <x:v>86</x:v>
      </x:c>
      <x:c r="E8" s="3" t="s">
        <x:v>83</x:v>
      </x:c>
      <x:c r="F8" s="1" t="s">
        <x:v>231</x:v>
      </x:c>
      <x:c r="G8" s="1" t="s">
        <x:v>1988</x:v>
      </x:c>
      <x:c r="H8" s="3"/>
      <x:c r="I8" s="3" t="s">
        <x:v>1989</x:v>
      </x:c>
      <x:c r="J8" s="3" t="s">
        <x:v>238</x:v>
      </x:c>
      <x:c r="K8" s="1" t="s">
        <x:v>1990</x:v>
      </x:c>
      <x:c r="L8" s="1" t="s">
        <x:v>1694</x:v>
      </x:c>
      <x:c r="M8" s="1" t="s">
        <x:v>1991</x:v>
      </x:c>
      <x:c r="N8" s="1"/>
    </x:row>
    <x:row r="9" ht="28" customHeight="1">
      <x:c r="A9" s="3" t="s">
        <x:v>675</x:v>
      </x:c>
      <x:c r="B9" s="1" t="s">
        <x:v>676</x:v>
      </x:c>
      <x:c r="C9" s="1" t="s">
        <x:v>1992</x:v>
      </x:c>
      <x:c r="D9" s="1" t="s">
        <x:v>86</x:v>
      </x:c>
      <x:c r="E9" s="3" t="s">
        <x:v>74</x:v>
      </x:c>
      <x:c r="F9" s="1" t="s">
        <x:v>231</x:v>
      </x:c>
      <x:c r="G9" s="3" t="s">
        <x:v>1993</x:v>
      </x:c>
      <x:c r="H9" s="3"/>
      <x:c r="I9" s="1" t="s">
        <x:v>1994</x:v>
      </x:c>
      <x:c r="J9" s="3" t="s">
        <x:v>238</x:v>
      </x:c>
      <x:c r="K9" s="1" t="s">
        <x:v>1995</x:v>
      </x:c>
      <x:c r="L9" s="1" t="s">
        <x:v>1796</x:v>
      </x:c>
      <x:c r="M9" s="1" t="s">
        <x:v>1996</x:v>
      </x:c>
      <x:c r="N9" s="1"/>
    </x:row>
  </x:sheetData>
  <x:conditionalFormatting sqref="D2:D9">
    <x:cfRule type="expression" dxfId="35" priority="5">
      <x:formula>D2="1차"</x:formula>
    </x:cfRule>
    <x:cfRule type="expression" dxfId="34" priority="6">
      <x:formula>D2="2차"</x:formula>
    </x:cfRule>
    <x:cfRule type="expression" dxfId="33" priority="7">
      <x:formula>D2="공통"</x:formula>
    </x:cfRule>
  </x:conditionalFormatting>
  <x:conditionalFormatting sqref="E2:E9">
    <x:cfRule type="expression" dxfId="32" priority="2">
      <x:formula>E2="M"</x:formula>
    </x:cfRule>
    <x:cfRule type="expression" dxfId="31" priority="3">
      <x:formula>E2="S"</x:formula>
    </x:cfRule>
    <x:cfRule type="expression" dxfId="30" priority="4">
      <x:formula>E2="C"</x:formula>
    </x:cfRule>
  </x:conditionalFormatting>
  <x:dataValidations count="3">
    <x:dataValidation type="list" sqref="D2:D9">
      <x:formula1>"1차,2차,공통"</x:formula1>
      <x:formula2>0</x:formula2>
    </x:dataValidation>
    <x:dataValidation type="list" sqref="E2:E9">
      <x:formula1>"M,S,C,W"</x:formula1>
      <x:formula2>0</x:formula2>
    </x:dataValidation>
    <x:dataValidation type="list" sqref="F2:F9">
      <x:formula1>"상,중,하,-"</x:formula1>
      <x:formula2>0</x:formula2>
    </x:dataValidation>
  </x:dataValidations>
  <x:pageMargins left="0.7" right="0.7" top="0.75" bottom="0.75" header="0.3" footer="0.3"/>
  <x:tableParts count="1">
    <x:tablePart xmlns:r="http://schemas.openxmlformats.org/officeDocument/2006/relationships" r:id="R622701772fee4300"/>
  </x:tableParts>
</x:worksheet>
</file>

<file path=xl/worksheets/sheet14.xml><?xml version="1.0" encoding="utf-8"?>
<x:worksheet xmlns:x="http://schemas.openxmlformats.org/spreadsheetml/2006/main">
  <x:sheetViews>
    <x:sheetView workbookViewId="0">
      <x:pane xSplit="2" ySplit="1" topLeftCell="C2" activePane="bottomRight" state="frozen"/>
    </x:sheetView>
  </x:sheetViews>
  <x:sheetFormatPr defaultColWidth="8.61328125" defaultRowHeight="12.449999809265137"/>
  <x:cols>
    <x:col min="1" max="1" width="18" customWidth="1"/>
    <x:col min="2" max="2" width="30" customWidth="1"/>
    <x:col min="3" max="3" width="38" customWidth="1"/>
    <x:col min="4" max="6" width="9" customWidth="1"/>
    <x:col min="7" max="7" width="50" customWidth="1"/>
    <x:col min="8" max="8" width="24" customWidth="1"/>
    <x:col min="9" max="9" width="31" customWidth="1"/>
    <x:col min="10" max="10" width="25" customWidth="1"/>
    <x:col min="11" max="11" width="50" customWidth="1"/>
    <x:col min="12" max="12" width="26" customWidth="1"/>
    <x:col min="13" max="13" width="40" customWidth="1"/>
    <x:col min="14" max="14" width="30" hidden="1" customWidth="1"/>
    <x:col min="15" max="15" width="8.61328125" customWidth="1"/>
  </x:cols>
  <x:sheetData>
    <x:row r="1" ht="14.050000190734863" customHeight="1">
      <x:c r="A1" s="2" t="s">
        <x:v>215</x:v>
      </x:c>
      <x:c r="B1" s="2" t="s">
        <x:v>216</x:v>
      </x:c>
      <x:c r="C1" s="2" t="s">
        <x:v>1180</x:v>
      </x:c>
      <x:c r="D1" s="2" t="s">
        <x:v>217</x:v>
      </x:c>
      <x:c r="E1" s="2" t="s">
        <x:v>219</x:v>
      </x:c>
      <x:c r="F1" s="2" t="s">
        <x:v>220</x:v>
      </x:c>
      <x:c r="G1" s="2" t="s">
        <x:v>1181</x:v>
      </x:c>
      <x:c r="H1" s="2" t="s">
        <x:v>224</x:v>
      </x:c>
      <x:c r="I1" s="2" t="s">
        <x:v>1182</x:v>
      </x:c>
      <x:c r="J1" s="2" t="s">
        <x:v>1183</x:v>
      </x:c>
      <x:c r="K1" s="2" t="s">
        <x:v>1184</x:v>
      </x:c>
      <x:c r="L1" s="2" t="s">
        <x:v>1185</x:v>
      </x:c>
      <x:c r="M1" s="2" t="s">
        <x:v>1186</x:v>
      </x:c>
      <x:c r="N1" s="2" t="s">
        <x:v>227</x:v>
      </x:c>
    </x:row>
    <x:row r="2" ht="43.5" customHeight="1">
      <x:c r="A2" s="3" t="s">
        <x:v>678</x:v>
      </x:c>
      <x:c r="B2" s="1" t="s">
        <x:v>679</x:v>
      </x:c>
      <x:c r="C2" s="3" t="s">
        <x:v>1997</x:v>
      </x:c>
      <x:c r="D2" s="1" t="s">
        <x:v>86</x:v>
      </x:c>
      <x:c r="E2" s="3" t="s">
        <x:v>74</x:v>
      </x:c>
      <x:c r="F2" s="3" t="s">
        <x:v>680</x:v>
      </x:c>
      <x:c r="G2" s="1" t="s">
        <x:v>1998</x:v>
      </x:c>
      <x:c r="H2" s="3"/>
      <x:c r="I2" s="1" t="s">
        <x:v>1999</x:v>
      </x:c>
      <x:c r="J2" s="3" t="s">
        <x:v>251</x:v>
      </x:c>
      <x:c r="K2" s="1" t="s">
        <x:v>2000</x:v>
      </x:c>
      <x:c r="L2" s="1" t="s">
        <x:v>2001</x:v>
      </x:c>
      <x:c r="M2" s="1" t="s">
        <x:v>2002</x:v>
      </x:c>
      <x:c r="N2" s="1"/>
    </x:row>
    <x:row r="3" ht="28" customHeight="1">
      <x:c r="A3" s="3" t="s">
        <x:v>682</x:v>
      </x:c>
      <x:c r="B3" s="3" t="s">
        <x:v>683</x:v>
      </x:c>
      <x:c r="C3" s="1" t="s">
        <x:v>2003</x:v>
      </x:c>
      <x:c r="D3" s="1" t="s">
        <x:v>86</x:v>
      </x:c>
      <x:c r="E3" s="3" t="s">
        <x:v>74</x:v>
      </x:c>
      <x:c r="F3" s="3" t="s">
        <x:v>680</x:v>
      </x:c>
      <x:c r="G3" s="1" t="s">
        <x:v>2004</x:v>
      </x:c>
      <x:c r="H3" s="3"/>
      <x:c r="I3" s="1" t="s">
        <x:v>2005</x:v>
      </x:c>
      <x:c r="J3" s="3" t="s">
        <x:v>251</x:v>
      </x:c>
      <x:c r="K3" s="1" t="s">
        <x:v>2006</x:v>
      </x:c>
      <x:c r="L3" s="1" t="s">
        <x:v>2001</x:v>
      </x:c>
      <x:c r="M3" s="1" t="s">
        <x:v>2007</x:v>
      </x:c>
      <x:c r="N3" s="1"/>
    </x:row>
    <x:row r="4" ht="28" customHeight="1">
      <x:c r="A4" s="3" t="s">
        <x:v>684</x:v>
      </x:c>
      <x:c r="B4" s="1" t="s">
        <x:v>685</x:v>
      </x:c>
      <x:c r="C4" s="1" t="s">
        <x:v>2008</x:v>
      </x:c>
      <x:c r="D4" s="1" t="s">
        <x:v>86</x:v>
      </x:c>
      <x:c r="E4" s="3" t="s">
        <x:v>74</x:v>
      </x:c>
      <x:c r="F4" s="3" t="s">
        <x:v>680</x:v>
      </x:c>
      <x:c r="G4" s="1" t="s">
        <x:v>2009</x:v>
      </x:c>
      <x:c r="H4" s="3"/>
      <x:c r="I4" s="1" t="s">
        <x:v>2010</x:v>
      </x:c>
      <x:c r="J4" s="3" t="s">
        <x:v>251</x:v>
      </x:c>
      <x:c r="K4" s="1" t="s">
        <x:v>2011</x:v>
      </x:c>
      <x:c r="L4" s="1" t="s">
        <x:v>2001</x:v>
      </x:c>
      <x:c r="M4" s="1" t="s">
        <x:v>2012</x:v>
      </x:c>
      <x:c r="N4" s="1"/>
    </x:row>
    <x:row r="5" ht="28" customHeight="1">
      <x:c r="A5" s="3" t="s">
        <x:v>686</x:v>
      </x:c>
      <x:c r="B5" s="1" t="s">
        <x:v>687</x:v>
      </x:c>
      <x:c r="C5" s="1" t="s">
        <x:v>2013</x:v>
      </x:c>
      <x:c r="D5" s="1" t="s">
        <x:v>86</x:v>
      </x:c>
      <x:c r="E5" s="3" t="s">
        <x:v>74</x:v>
      </x:c>
      <x:c r="F5" s="1" t="s">
        <x:v>237</x:v>
      </x:c>
      <x:c r="G5" s="1" t="s">
        <x:v>2014</x:v>
      </x:c>
      <x:c r="H5" s="3"/>
      <x:c r="I5" s="1" t="s">
        <x:v>2015</x:v>
      </x:c>
      <x:c r="J5" s="3" t="s">
        <x:v>234</x:v>
      </x:c>
      <x:c r="K5" s="1" t="s">
        <x:v>2016</x:v>
      </x:c>
      <x:c r="L5" s="1" t="s">
        <x:v>2017</x:v>
      </x:c>
      <x:c r="M5" s="1" t="s">
        <x:v>2018</x:v>
      </x:c>
      <x:c r="N5" s="1"/>
    </x:row>
    <x:row r="6" ht="28" customHeight="1">
      <x:c r="A6" s="3" t="s">
        <x:v>688</x:v>
      </x:c>
      <x:c r="B6" s="1" t="s">
        <x:v>689</x:v>
      </x:c>
      <x:c r="C6" s="1" t="s">
        <x:v>2019</x:v>
      </x:c>
      <x:c r="D6" s="1" t="s">
        <x:v>86</x:v>
      </x:c>
      <x:c r="E6" s="3" t="s">
        <x:v>74</x:v>
      </x:c>
      <x:c r="F6" s="3" t="s">
        <x:v>680</x:v>
      </x:c>
      <x:c r="G6" s="1" t="s">
        <x:v>2020</x:v>
      </x:c>
      <x:c r="H6" s="3"/>
      <x:c r="I6" s="1" t="s">
        <x:v>2021</x:v>
      </x:c>
      <x:c r="J6" s="3" t="s">
        <x:v>251</x:v>
      </x:c>
      <x:c r="K6" s="1" t="s">
        <x:v>2022</x:v>
      </x:c>
      <x:c r="L6" s="1" t="s">
        <x:v>2023</x:v>
      </x:c>
      <x:c r="M6" s="1" t="s">
        <x:v>2024</x:v>
      </x:c>
      <x:c r="N6" s="1"/>
    </x:row>
    <x:row r="7" ht="29.049999237060547" customHeight="1">
      <x:c r="A7" s="3" t="s">
        <x:v>691</x:v>
      </x:c>
      <x:c r="B7" s="1" t="s">
        <x:v>692</x:v>
      </x:c>
      <x:c r="C7" s="3" t="s">
        <x:v>2025</x:v>
      </x:c>
      <x:c r="D7" s="1" t="s">
        <x:v>86</x:v>
      </x:c>
      <x:c r="E7" s="3" t="s">
        <x:v>74</x:v>
      </x:c>
      <x:c r="F7" s="3" t="s">
        <x:v>680</x:v>
      </x:c>
      <x:c r="G7" s="3" t="s">
        <x:v>2026</x:v>
      </x:c>
      <x:c r="H7" s="3"/>
      <x:c r="I7" s="1" t="s">
        <x:v>2027</x:v>
      </x:c>
      <x:c r="J7" s="3" t="s">
        <x:v>234</x:v>
      </x:c>
      <x:c r="K7" s="3" t="s">
        <x:v>2028</x:v>
      </x:c>
      <x:c r="L7" s="5" t="s">
        <x:v>2029</x:v>
      </x:c>
      <x:c r="M7" s="3" t="s">
        <x:v>2030</x:v>
      </x:c>
      <x:c r="N7" s="3"/>
    </x:row>
    <x:row r="8" ht="43.5" customHeight="1">
      <x:c r="A8" s="3" t="s">
        <x:v>694</x:v>
      </x:c>
      <x:c r="B8" s="3" t="s">
        <x:v>695</x:v>
      </x:c>
      <x:c r="C8" s="3" t="s">
        <x:v>2031</x:v>
      </x:c>
      <x:c r="D8" s="1" t="s">
        <x:v>86</x:v>
      </x:c>
      <x:c r="E8" s="3" t="s">
        <x:v>74</x:v>
      </x:c>
      <x:c r="F8" s="3" t="s">
        <x:v>680</x:v>
      </x:c>
      <x:c r="G8" s="3" t="s">
        <x:v>2032</x:v>
      </x:c>
      <x:c r="H8" s="3"/>
      <x:c r="I8" s="3" t="s">
        <x:v>2033</x:v>
      </x:c>
      <x:c r="J8" s="3" t="s">
        <x:v>234</x:v>
      </x:c>
      <x:c r="K8" s="1" t="s">
        <x:v>2034</x:v>
      </x:c>
      <x:c r="L8" s="1" t="s">
        <x:v>2035</x:v>
      </x:c>
      <x:c r="M8" s="1" t="s">
        <x:v>2036</x:v>
      </x:c>
      <x:c r="N8" s="1" t="s">
        <x:v>696</x:v>
      </x:c>
    </x:row>
    <x:row r="9" ht="28" customHeight="1">
      <x:c r="A9" s="3" t="s">
        <x:v>697</x:v>
      </x:c>
      <x:c r="B9" s="1" t="s">
        <x:v>698</x:v>
      </x:c>
      <x:c r="C9" s="1" t="s">
        <x:v>2037</x:v>
      </x:c>
      <x:c r="D9" s="1" t="s">
        <x:v>86</x:v>
      </x:c>
      <x:c r="E9" s="3" t="s">
        <x:v>74</x:v>
      </x:c>
      <x:c r="F9" s="1" t="s">
        <x:v>231</x:v>
      </x:c>
      <x:c r="G9" s="1" t="s">
        <x:v>2038</x:v>
      </x:c>
      <x:c r="H9" s="3"/>
      <x:c r="I9" s="1" t="s">
        <x:v>2039</x:v>
      </x:c>
      <x:c r="J9" s="3" t="s">
        <x:v>238</x:v>
      </x:c>
      <x:c r="K9" s="1" t="s">
        <x:v>2040</x:v>
      </x:c>
      <x:c r="L9" s="1" t="s">
        <x:v>2023</x:v>
      </x:c>
      <x:c r="M9" s="1" t="s">
        <x:v>2041</x:v>
      </x:c>
      <x:c r="N9" s="1"/>
    </x:row>
    <x:row r="10" ht="28" customHeight="1">
      <x:c r="A10" s="3" t="s">
        <x:v>700</x:v>
      </x:c>
      <x:c r="B10" s="1" t="s">
        <x:v>701</x:v>
      </x:c>
      <x:c r="C10" s="1" t="s">
        <x:v>2042</x:v>
      </x:c>
      <x:c r="D10" s="1" t="s">
        <x:v>86</x:v>
      </x:c>
      <x:c r="E10" s="3" t="s">
        <x:v>74</x:v>
      </x:c>
      <x:c r="F10" s="1" t="s">
        <x:v>250</x:v>
      </x:c>
      <x:c r="G10" s="1" t="s">
        <x:v>2043</x:v>
      </x:c>
      <x:c r="H10" s="3"/>
      <x:c r="I10" s="1" t="s">
        <x:v>2044</x:v>
      </x:c>
      <x:c r="J10" s="3" t="s">
        <x:v>703</x:v>
      </x:c>
      <x:c r="K10" s="1" t="s">
        <x:v>2045</x:v>
      </x:c>
      <x:c r="L10" s="1" t="s">
        <x:v>2023</x:v>
      </x:c>
      <x:c r="M10" s="1" t="s">
        <x:v>2046</x:v>
      </x:c>
      <x:c r="N10" s="1" t="s">
        <x:v>2047</x:v>
      </x:c>
    </x:row>
    <x:row r="11" ht="70" customHeight="1">
      <x:c r="A11" s="3" t="s">
        <x:v>573</x:v>
      </x:c>
      <x:c r="B11" s="1" t="s">
        <x:v>785</x:v>
      </x:c>
      <x:c r="C11" s="1" t="s">
        <x:v>2048</x:v>
      </x:c>
      <x:c r="D11" s="1" t="s">
        <x:v>86</x:v>
      </x:c>
      <x:c r="E11" s="3" t="s">
        <x:v>74</x:v>
      </x:c>
      <x:c r="F11" s="1" t="s">
        <x:v>680</x:v>
      </x:c>
      <x:c r="G11" s="1" t="s">
        <x:v>2049</x:v>
      </x:c>
      <x:c r="H11" s="3" t="s">
        <x:v>786</x:v>
      </x:c>
      <x:c r="I11" s="1" t="s">
        <x:v>2050</x:v>
      </x:c>
      <x:c r="J11" s="5" t="s">
        <x:v>787</x:v>
      </x:c>
      <x:c r="K11" s="1" t="s">
        <x:v>2051</x:v>
      </x:c>
      <x:c r="L11" s="1" t="s">
        <x:v>2052</x:v>
      </x:c>
      <x:c r="M11" s="1" t="s">
        <x:v>2053</x:v>
      </x:c>
      <x:c r="N11" s="1" t="s">
        <x:v>788</x:v>
      </x:c>
    </x:row>
  </x:sheetData>
  <x:conditionalFormatting sqref="D2:D10">
    <x:cfRule type="expression" dxfId="29" priority="5">
      <x:formula>D2="1차"</x:formula>
    </x:cfRule>
    <x:cfRule type="expression" dxfId="28" priority="6">
      <x:formula>D2="2차"</x:formula>
    </x:cfRule>
    <x:cfRule type="expression" dxfId="27" priority="7">
      <x:formula>D2="공통"</x:formula>
    </x:cfRule>
  </x:conditionalFormatting>
  <x:conditionalFormatting sqref="E2:E10">
    <x:cfRule type="expression" dxfId="26" priority="2">
      <x:formula>E2="M"</x:formula>
    </x:cfRule>
    <x:cfRule type="expression" dxfId="25" priority="3">
      <x:formula>E2="S"</x:formula>
    </x:cfRule>
    <x:cfRule type="expression" dxfId="24" priority="4">
      <x:formula>E2="C"</x:formula>
    </x:cfRule>
  </x:conditionalFormatting>
  <x:dataValidations count="3">
    <x:dataValidation type="list" sqref="D2:D10">
      <x:formula1>"1차,2차,공통"</x:formula1>
      <x:formula2>0</x:formula2>
    </x:dataValidation>
    <x:dataValidation type="list" sqref="E2:E10">
      <x:formula1>"M,S,C,W"</x:formula1>
      <x:formula2>0</x:formula2>
    </x:dataValidation>
    <x:dataValidation type="list" sqref="F2:F10">
      <x:formula1>"상,중,하,-"</x:formula1>
      <x:formula2>0</x:formula2>
    </x:dataValidation>
  </x:dataValidations>
  <x:pageMargins left="0.7" right="0.7" top="0.75" bottom="0.75" header="0.3" footer="0.3"/>
  <x:tableParts count="1">
    <x:tablePart xmlns:r="http://schemas.openxmlformats.org/officeDocument/2006/relationships" r:id="Re825777c93be4e27"/>
  </x:tableParts>
</x:worksheet>
</file>

<file path=xl/worksheets/sheet15.xml><?xml version="1.0" encoding="utf-8"?>
<x:worksheet xmlns:x="http://schemas.openxmlformats.org/spreadsheetml/2006/main">
  <x:sheetViews>
    <x:sheetView workbookViewId="0">
      <x:pane xSplit="2" ySplit="1" topLeftCell="C2" activePane="bottomRight" state="frozen"/>
    </x:sheetView>
  </x:sheetViews>
  <x:sheetFormatPr defaultColWidth="8.61328125" defaultRowHeight="12.449999809265137"/>
  <x:cols>
    <x:col min="1" max="1" width="18" customWidth="1"/>
    <x:col min="2" max="2" width="30" customWidth="1"/>
    <x:col min="3" max="3" width="38" customWidth="1"/>
    <x:col min="4" max="6" width="9" customWidth="1"/>
    <x:col min="7" max="7" width="50" customWidth="1"/>
    <x:col min="8" max="8" width="24" hidden="1" customWidth="1"/>
    <x:col min="9" max="9" width="31" customWidth="1"/>
    <x:col min="10" max="10" width="25" customWidth="1"/>
    <x:col min="11" max="11" width="50" customWidth="1"/>
    <x:col min="12" max="12" width="26" customWidth="1"/>
    <x:col min="13" max="13" width="40" customWidth="1"/>
    <x:col min="14" max="14" width="30" hidden="1" customWidth="1"/>
    <x:col min="15" max="15" width="8.61328125" customWidth="1"/>
  </x:cols>
  <x:sheetData>
    <x:row r="1" ht="14.050000190734863" customHeight="1">
      <x:c r="A1" s="2" t="s">
        <x:v>215</x:v>
      </x:c>
      <x:c r="B1" s="2" t="s">
        <x:v>216</x:v>
      </x:c>
      <x:c r="C1" s="2" t="s">
        <x:v>1180</x:v>
      </x:c>
      <x:c r="D1" s="2" t="s">
        <x:v>217</x:v>
      </x:c>
      <x:c r="E1" s="2" t="s">
        <x:v>219</x:v>
      </x:c>
      <x:c r="F1" s="2" t="s">
        <x:v>220</x:v>
      </x:c>
      <x:c r="G1" s="2" t="s">
        <x:v>1181</x:v>
      </x:c>
      <x:c r="H1" s="2" t="s">
        <x:v>224</x:v>
      </x:c>
      <x:c r="I1" s="2" t="s">
        <x:v>1182</x:v>
      </x:c>
      <x:c r="J1" s="2" t="s">
        <x:v>1183</x:v>
      </x:c>
      <x:c r="K1" s="2" t="s">
        <x:v>1184</x:v>
      </x:c>
      <x:c r="L1" s="2" t="s">
        <x:v>1185</x:v>
      </x:c>
      <x:c r="M1" s="2" t="s">
        <x:v>1186</x:v>
      </x:c>
      <x:c r="N1" s="2" t="s">
        <x:v>227</x:v>
      </x:c>
    </x:row>
    <x:row r="2" ht="28" customHeight="1">
      <x:c r="A2" s="3" t="s">
        <x:v>704</x:v>
      </x:c>
      <x:c r="B2" s="1" t="s">
        <x:v>705</x:v>
      </x:c>
      <x:c r="C2" s="1" t="s">
        <x:v>2054</x:v>
      </x:c>
      <x:c r="D2" s="1" t="s">
        <x:v>86</x:v>
      </x:c>
      <x:c r="E2" s="3" t="s">
        <x:v>74</x:v>
      </x:c>
      <x:c r="F2" s="1" t="s">
        <x:v>237</x:v>
      </x:c>
      <x:c r="G2" s="1" t="s">
        <x:v>2055</x:v>
      </x:c>
      <x:c r="H2" s="3"/>
      <x:c r="I2" s="1" t="s">
        <x:v>2056</x:v>
      </x:c>
      <x:c r="J2" s="3" t="s">
        <x:v>234</x:v>
      </x:c>
      <x:c r="K2" s="1" t="s">
        <x:v>2057</x:v>
      </x:c>
      <x:c r="L2" s="1" t="s">
        <x:v>2058</x:v>
      </x:c>
      <x:c r="M2" s="1" t="s">
        <x:v>2059</x:v>
      </x:c>
      <x:c r="N2" s="1"/>
    </x:row>
    <x:row r="3" ht="42" customHeight="1">
      <x:c r="A3" s="3" t="s">
        <x:v>707</x:v>
      </x:c>
      <x:c r="B3" s="1" t="s">
        <x:v>708</x:v>
      </x:c>
      <x:c r="C3" s="1" t="s">
        <x:v>2060</x:v>
      </x:c>
      <x:c r="D3" s="1" t="s">
        <x:v>86</x:v>
      </x:c>
      <x:c r="E3" s="3" t="s">
        <x:v>74</x:v>
      </x:c>
      <x:c r="F3" s="1" t="s">
        <x:v>237</x:v>
      </x:c>
      <x:c r="G3" s="3" t="s">
        <x:v>2061</x:v>
      </x:c>
      <x:c r="H3" s="3"/>
      <x:c r="I3" s="1" t="s">
        <x:v>2062</x:v>
      </x:c>
      <x:c r="J3" s="3" t="s">
        <x:v>251</x:v>
      </x:c>
      <x:c r="K3" s="1" t="s">
        <x:v>2063</x:v>
      </x:c>
      <x:c r="L3" s="1" t="s">
        <x:v>2064</x:v>
      </x:c>
      <x:c r="M3" s="1" t="s">
        <x:v>2065</x:v>
      </x:c>
      <x:c r="N3" s="1"/>
    </x:row>
    <x:row r="4" ht="28" customHeight="1">
      <x:c r="A4" s="3" t="s">
        <x:v>710</x:v>
      </x:c>
      <x:c r="B4" s="1" t="s">
        <x:v>711</x:v>
      </x:c>
      <x:c r="C4" s="1" t="s">
        <x:v>2066</x:v>
      </x:c>
      <x:c r="D4" s="3" t="s">
        <x:v>77</x:v>
      </x:c>
      <x:c r="E4" s="3" t="s">
        <x:v>74</x:v>
      </x:c>
      <x:c r="F4" s="1" t="s">
        <x:v>237</x:v>
      </x:c>
      <x:c r="G4" s="1" t="s">
        <x:v>2067</x:v>
      </x:c>
      <x:c r="H4" s="3"/>
      <x:c r="I4" s="1" t="s">
        <x:v>2068</x:v>
      </x:c>
      <x:c r="J4" s="3" t="s">
        <x:v>541</x:v>
      </x:c>
      <x:c r="K4" s="1" t="s">
        <x:v>2069</x:v>
      </x:c>
      <x:c r="L4" s="1" t="s">
        <x:v>2070</x:v>
      </x:c>
      <x:c r="M4" s="1" t="s">
        <x:v>2071</x:v>
      </x:c>
      <x:c r="N4" s="1" t="s">
        <x:v>2072</x:v>
      </x:c>
    </x:row>
    <x:row r="5" ht="29.049999237060547" customHeight="1">
      <x:c r="A5" s="3" t="s">
        <x:v>713</x:v>
      </x:c>
      <x:c r="B5" s="1" t="s">
        <x:v>714</x:v>
      </x:c>
      <x:c r="C5" s="1" t="s">
        <x:v>2073</x:v>
      </x:c>
      <x:c r="D5" s="3" t="s">
        <x:v>77</x:v>
      </x:c>
      <x:c r="E5" s="3" t="s">
        <x:v>74</x:v>
      </x:c>
      <x:c r="F5" s="1" t="s">
        <x:v>237</x:v>
      </x:c>
      <x:c r="G5" s="3" t="s">
        <x:v>2074</x:v>
      </x:c>
      <x:c r="H5" s="3"/>
      <x:c r="I5" s="1" t="s">
        <x:v>2075</x:v>
      </x:c>
      <x:c r="J5" s="3" t="s">
        <x:v>251</x:v>
      </x:c>
      <x:c r="K5" s="3" t="s">
        <x:v>2076</x:v>
      </x:c>
      <x:c r="L5" s="3" t="s">
        <x:v>1919</x:v>
      </x:c>
      <x:c r="M5" s="5" t="s">
        <x:v>2077</x:v>
      </x:c>
      <x:c r="N5" s="3"/>
    </x:row>
  </x:sheetData>
  <x:conditionalFormatting sqref="D2:D5">
    <x:cfRule type="expression" dxfId="23" priority="5">
      <x:formula>D2="1차"</x:formula>
    </x:cfRule>
    <x:cfRule type="expression" dxfId="22" priority="6">
      <x:formula>D2="2차"</x:formula>
    </x:cfRule>
    <x:cfRule type="expression" dxfId="21" priority="7">
      <x:formula>D2="공통"</x:formula>
    </x:cfRule>
  </x:conditionalFormatting>
  <x:conditionalFormatting sqref="E2:E5">
    <x:cfRule type="expression" dxfId="20" priority="2">
      <x:formula>E2="M"</x:formula>
    </x:cfRule>
    <x:cfRule type="expression" dxfId="19" priority="3">
      <x:formula>E2="S"</x:formula>
    </x:cfRule>
    <x:cfRule type="expression" dxfId="18" priority="4">
      <x:formula>E2="C"</x:formula>
    </x:cfRule>
  </x:conditionalFormatting>
  <x:dataValidations count="3">
    <x:dataValidation type="list" sqref="D2:D5">
      <x:formula1>"1차,2차,공통"</x:formula1>
      <x:formula2>0</x:formula2>
    </x:dataValidation>
    <x:dataValidation type="list" sqref="E2:E5">
      <x:formula1>"M,S,C,W"</x:formula1>
      <x:formula2>0</x:formula2>
    </x:dataValidation>
    <x:dataValidation type="list" sqref="F2:F5">
      <x:formula1>"상,중,하,-"</x:formula1>
      <x:formula2>0</x:formula2>
    </x:dataValidation>
  </x:dataValidations>
  <x:pageMargins left="0.7" right="0.7" top="0.75" bottom="0.75" header="0.3" footer="0.3"/>
  <x:tableParts count="1">
    <x:tablePart xmlns:r="http://schemas.openxmlformats.org/officeDocument/2006/relationships" r:id="R6a6a4ce9081b4921"/>
  </x:tableParts>
</x:worksheet>
</file>

<file path=xl/worksheets/sheet16.xml><?xml version="1.0" encoding="utf-8"?>
<x:worksheet xmlns:x="http://schemas.openxmlformats.org/spreadsheetml/2006/main">
  <x:sheetViews>
    <x:sheetView workbookViewId="0">
      <x:pane xSplit="2" ySplit="1" topLeftCell="C2" activePane="bottomRight" state="frozen"/>
    </x:sheetView>
  </x:sheetViews>
  <x:sheetFormatPr defaultColWidth="8.61328125" defaultRowHeight="12.449999809265137"/>
  <x:cols>
    <x:col min="1" max="1" width="18" customWidth="1"/>
    <x:col min="2" max="2" width="30" customWidth="1"/>
    <x:col min="3" max="3" width="38" customWidth="1"/>
    <x:col min="4" max="6" width="9" customWidth="1"/>
    <x:col min="7" max="7" width="50" customWidth="1"/>
    <x:col min="8" max="8" width="24" hidden="1" customWidth="1"/>
    <x:col min="9" max="9" width="31" customWidth="1"/>
    <x:col min="10" max="10" width="25" customWidth="1"/>
    <x:col min="11" max="11" width="50" customWidth="1"/>
    <x:col min="12" max="12" width="26" customWidth="1"/>
    <x:col min="13" max="13" width="40" customWidth="1"/>
    <x:col min="14" max="14" width="30" hidden="1" customWidth="1"/>
    <x:col min="15" max="15" width="8.61328125" customWidth="1"/>
  </x:cols>
  <x:sheetData>
    <x:row r="1" ht="14.050000190734863" customHeight="1">
      <x:c r="A1" s="2" t="s">
        <x:v>215</x:v>
      </x:c>
      <x:c r="B1" s="2" t="s">
        <x:v>216</x:v>
      </x:c>
      <x:c r="C1" s="2" t="s">
        <x:v>1180</x:v>
      </x:c>
      <x:c r="D1" s="2" t="s">
        <x:v>217</x:v>
      </x:c>
      <x:c r="E1" s="2" t="s">
        <x:v>219</x:v>
      </x:c>
      <x:c r="F1" s="2" t="s">
        <x:v>220</x:v>
      </x:c>
      <x:c r="G1" s="2" t="s">
        <x:v>1181</x:v>
      </x:c>
      <x:c r="H1" s="2" t="s">
        <x:v>224</x:v>
      </x:c>
      <x:c r="I1" s="2" t="s">
        <x:v>1182</x:v>
      </x:c>
      <x:c r="J1" s="2" t="s">
        <x:v>1183</x:v>
      </x:c>
      <x:c r="K1" s="2" t="s">
        <x:v>1184</x:v>
      </x:c>
      <x:c r="L1" s="2" t="s">
        <x:v>1185</x:v>
      </x:c>
      <x:c r="M1" s="2" t="s">
        <x:v>1186</x:v>
      </x:c>
      <x:c r="N1" s="2" t="s">
        <x:v>227</x:v>
      </x:c>
    </x:row>
    <x:row r="2" ht="28" customHeight="1">
      <x:c r="A2" s="3" t="s">
        <x:v>715</x:v>
      </x:c>
      <x:c r="B2" s="1" t="s">
        <x:v>716</x:v>
      </x:c>
      <x:c r="C2" s="1" t="s">
        <x:v>2078</x:v>
      </x:c>
      <x:c r="D2" s="1" t="s">
        <x:v>86</x:v>
      </x:c>
      <x:c r="E2" s="3" t="s">
        <x:v>74</x:v>
      </x:c>
      <x:c r="F2" s="1" t="s">
        <x:v>231</x:v>
      </x:c>
      <x:c r="G2" s="1" t="s">
        <x:v>2079</x:v>
      </x:c>
      <x:c r="H2" s="3"/>
      <x:c r="I2" s="1" t="s">
        <x:v>2080</x:v>
      </x:c>
      <x:c r="J2" s="3" t="s">
        <x:v>238</x:v>
      </x:c>
      <x:c r="K2" s="1" t="s">
        <x:v>2081</x:v>
      </x:c>
      <x:c r="L2" s="1" t="s">
        <x:v>1796</x:v>
      </x:c>
      <x:c r="M2" s="1" t="s">
        <x:v>2082</x:v>
      </x:c>
      <x:c r="N2" s="1" t="s">
        <x:v>2083</x:v>
      </x:c>
    </x:row>
    <x:row r="3" ht="29.049999237060547" customHeight="1">
      <x:c r="A3" s="3" t="s">
        <x:v>721</x:v>
      </x:c>
      <x:c r="B3" s="3" t="s">
        <x:v>722</x:v>
      </x:c>
      <x:c r="C3" s="1" t="s">
        <x:v>2084</x:v>
      </x:c>
      <x:c r="D3" s="1" t="s">
        <x:v>86</x:v>
      </x:c>
      <x:c r="E3" s="3" t="s">
        <x:v>74</x:v>
      </x:c>
      <x:c r="F3" s="1" t="s">
        <x:v>231</x:v>
      </x:c>
      <x:c r="G3" s="3" t="s">
        <x:v>2085</x:v>
      </x:c>
      <x:c r="H3" s="3"/>
      <x:c r="I3" s="3" t="s">
        <x:v>2086</x:v>
      </x:c>
      <x:c r="J3" s="1" t="s">
        <x:v>566</x:v>
      </x:c>
      <x:c r="K3" s="3" t="s">
        <x:v>2087</x:v>
      </x:c>
      <x:c r="L3" s="5" t="s">
        <x:v>1796</x:v>
      </x:c>
      <x:c r="M3" s="3" t="s">
        <x:v>2088</x:v>
      </x:c>
      <x:c r="N3" s="5" t="s">
        <x:v>2089</x:v>
      </x:c>
    </x:row>
    <x:row r="4" ht="29.049999237060547" customHeight="1">
      <x:c r="A4" s="3" t="s">
        <x:v>724</x:v>
      </x:c>
      <x:c r="B4" s="1" t="s">
        <x:v>725</x:v>
      </x:c>
      <x:c r="C4" s="3" t="s">
        <x:v>2090</x:v>
      </x:c>
      <x:c r="D4" s="1" t="s">
        <x:v>86</x:v>
      </x:c>
      <x:c r="E4" s="3" t="s">
        <x:v>74</x:v>
      </x:c>
      <x:c r="F4" s="1" t="s">
        <x:v>231</x:v>
      </x:c>
      <x:c r="G4" s="1" t="s">
        <x:v>2091</x:v>
      </x:c>
      <x:c r="H4" s="3"/>
      <x:c r="I4" s="1" t="s">
        <x:v>2092</x:v>
      </x:c>
      <x:c r="J4" s="1" t="s">
        <x:v>566</x:v>
      </x:c>
      <x:c r="K4" s="1" t="s">
        <x:v>2093</x:v>
      </x:c>
      <x:c r="L4" s="1" t="s">
        <x:v>1796</x:v>
      </x:c>
      <x:c r="M4" s="1" t="s">
        <x:v>2094</x:v>
      </x:c>
      <x:c r="N4" s="1" t="s">
        <x:v>2095</x:v>
      </x:c>
    </x:row>
    <x:row r="5" ht="29.049999237060547" customHeight="1">
      <x:c r="A5" s="3" t="s">
        <x:v>726</x:v>
      </x:c>
      <x:c r="B5" s="3" t="s">
        <x:v>727</x:v>
      </x:c>
      <x:c r="C5" s="1" t="s">
        <x:v>2096</x:v>
      </x:c>
      <x:c r="D5" s="1" t="s">
        <x:v>86</x:v>
      </x:c>
      <x:c r="E5" s="3" t="s">
        <x:v>74</x:v>
      </x:c>
      <x:c r="F5" s="1" t="s">
        <x:v>231</x:v>
      </x:c>
      <x:c r="G5" s="3" t="s">
        <x:v>2097</x:v>
      </x:c>
      <x:c r="H5" s="3"/>
      <x:c r="I5" s="1" t="s">
        <x:v>2098</x:v>
      </x:c>
      <x:c r="J5" s="1" t="s">
        <x:v>728</x:v>
      </x:c>
      <x:c r="K5" s="1" t="s">
        <x:v>2099</x:v>
      </x:c>
      <x:c r="L5" s="1" t="s">
        <x:v>1796</x:v>
      </x:c>
      <x:c r="M5" s="1" t="s">
        <x:v>2100</x:v>
      </x:c>
      <x:c r="N5" s="1" t="s">
        <x:v>2101</x:v>
      </x:c>
    </x:row>
    <x:row r="6" ht="28" customHeight="1">
      <x:c r="A6" s="3" t="s">
        <x:v>729</x:v>
      </x:c>
      <x:c r="B6" s="3" t="s">
        <x:v>730</x:v>
      </x:c>
      <x:c r="C6" s="1" t="s">
        <x:v>2102</x:v>
      </x:c>
      <x:c r="D6" s="1" t="s">
        <x:v>86</x:v>
      </x:c>
      <x:c r="E6" s="3" t="s">
        <x:v>74</x:v>
      </x:c>
      <x:c r="F6" s="1" t="s">
        <x:v>231</x:v>
      </x:c>
      <x:c r="G6" s="1" t="s">
        <x:v>2103</x:v>
      </x:c>
      <x:c r="H6" s="3"/>
      <x:c r="I6" s="1" t="s">
        <x:v>2104</x:v>
      </x:c>
      <x:c r="J6" s="1" t="s">
        <x:v>566</x:v>
      </x:c>
      <x:c r="K6" s="1" t="s">
        <x:v>2105</x:v>
      </x:c>
      <x:c r="L6" s="1" t="s">
        <x:v>1796</x:v>
      </x:c>
      <x:c r="M6" s="1" t="s">
        <x:v>2106</x:v>
      </x:c>
      <x:c r="N6" s="1" t="s">
        <x:v>2107</x:v>
      </x:c>
    </x:row>
    <x:row r="7" ht="29.049999237060547" customHeight="1">
      <x:c r="A7" s="3" t="s">
        <x:v>731</x:v>
      </x:c>
      <x:c r="B7" s="1" t="s">
        <x:v>732</x:v>
      </x:c>
      <x:c r="C7" s="3" t="s">
        <x:v>2108</x:v>
      </x:c>
      <x:c r="D7" s="1" t="s">
        <x:v>86</x:v>
      </x:c>
      <x:c r="E7" s="3" t="s">
        <x:v>74</x:v>
      </x:c>
      <x:c r="F7" s="1" t="s">
        <x:v>231</x:v>
      </x:c>
      <x:c r="G7" s="3" t="s">
        <x:v>2109</x:v>
      </x:c>
      <x:c r="H7" s="3"/>
      <x:c r="I7" s="1" t="s">
        <x:v>2110</x:v>
      </x:c>
      <x:c r="J7" s="3" t="s">
        <x:v>238</x:v>
      </x:c>
      <x:c r="K7" s="1" t="s">
        <x:v>2111</x:v>
      </x:c>
      <x:c r="L7" s="1" t="s">
        <x:v>1796</x:v>
      </x:c>
      <x:c r="M7" s="1" t="s">
        <x:v>2112</x:v>
      </x:c>
      <x:c r="N7" s="1" t="s">
        <x:v>2113</x:v>
      </x:c>
    </x:row>
    <x:row r="8" ht="42" customHeight="1">
      <x:c r="A8" s="3" t="s">
        <x:v>733</x:v>
      </x:c>
      <x:c r="B8" s="1" t="s">
        <x:v>734</x:v>
      </x:c>
      <x:c r="C8" s="3" t="s">
        <x:v>2114</x:v>
      </x:c>
      <x:c r="D8" s="1" t="s">
        <x:v>86</x:v>
      </x:c>
      <x:c r="E8" s="3" t="s">
        <x:v>74</x:v>
      </x:c>
      <x:c r="F8" s="1" t="s">
        <x:v>237</x:v>
      </x:c>
      <x:c r="G8" s="1" t="s">
        <x:v>2115</x:v>
      </x:c>
      <x:c r="H8" s="3"/>
      <x:c r="I8" s="3" t="s">
        <x:v>2116</x:v>
      </x:c>
      <x:c r="J8" s="1" t="s">
        <x:v>735</x:v>
      </x:c>
      <x:c r="K8" s="1" t="s">
        <x:v>2117</x:v>
      </x:c>
      <x:c r="L8" s="1" t="s">
        <x:v>1796</x:v>
      </x:c>
      <x:c r="M8" s="1" t="s">
        <x:v>2118</x:v>
      </x:c>
      <x:c r="N8" s="1" t="s">
        <x:v>2119</x:v>
      </x:c>
    </x:row>
    <x:row r="9" ht="28" customHeight="1">
      <x:c r="A9" s="3" t="s">
        <x:v>737</x:v>
      </x:c>
      <x:c r="B9" s="1" t="s">
        <x:v>738</x:v>
      </x:c>
      <x:c r="C9" s="1" t="s">
        <x:v>2120</x:v>
      </x:c>
      <x:c r="D9" s="1" t="s">
        <x:v>86</x:v>
      </x:c>
      <x:c r="E9" s="3" t="s">
        <x:v>74</x:v>
      </x:c>
      <x:c r="F9" s="1" t="s">
        <x:v>231</x:v>
      </x:c>
      <x:c r="G9" s="1" t="s">
        <x:v>2121</x:v>
      </x:c>
      <x:c r="H9" s="3"/>
      <x:c r="I9" s="1" t="s">
        <x:v>2122</x:v>
      </x:c>
      <x:c r="J9" s="3" t="s">
        <x:v>438</x:v>
      </x:c>
      <x:c r="K9" s="1" t="s">
        <x:v>2123</x:v>
      </x:c>
      <x:c r="L9" s="1" t="s">
        <x:v>1796</x:v>
      </x:c>
      <x:c r="M9" s="1" t="s">
        <x:v>2124</x:v>
      </x:c>
      <x:c r="N9" s="1"/>
    </x:row>
    <x:row r="10" ht="42" customHeight="1">
      <x:c r="A10" s="3" t="s">
        <x:v>739</x:v>
      </x:c>
      <x:c r="B10" s="1" t="s">
        <x:v>740</x:v>
      </x:c>
      <x:c r="C10" s="1" t="s">
        <x:v>2125</x:v>
      </x:c>
      <x:c r="D10" s="1" t="s">
        <x:v>86</x:v>
      </x:c>
      <x:c r="E10" s="3" t="s">
        <x:v>74</x:v>
      </x:c>
      <x:c r="F10" s="1" t="s">
        <x:v>237</x:v>
      </x:c>
      <x:c r="G10" s="3" t="s">
        <x:v>2126</x:v>
      </x:c>
      <x:c r="H10" s="3"/>
      <x:c r="I10" s="1" t="s">
        <x:v>2127</x:v>
      </x:c>
      <x:c r="J10" s="3" t="s">
        <x:v>238</x:v>
      </x:c>
      <x:c r="K10" s="1" t="s">
        <x:v>2128</x:v>
      </x:c>
      <x:c r="L10" s="1" t="s">
        <x:v>2129</x:v>
      </x:c>
      <x:c r="M10" s="1" t="s">
        <x:v>2130</x:v>
      </x:c>
      <x:c r="N10" s="1"/>
    </x:row>
    <x:row r="11" ht="28" customHeight="1">
      <x:c r="A11" s="3" t="s">
        <x:v>742</x:v>
      </x:c>
      <x:c r="B11" s="1" t="s">
        <x:v>743</x:v>
      </x:c>
      <x:c r="C11" s="1" t="s">
        <x:v>2131</x:v>
      </x:c>
      <x:c r="D11" s="1" t="s">
        <x:v>86</x:v>
      </x:c>
      <x:c r="E11" s="3" t="s">
        <x:v>74</x:v>
      </x:c>
      <x:c r="F11" s="1" t="s">
        <x:v>231</x:v>
      </x:c>
      <x:c r="G11" s="1" t="s">
        <x:v>2132</x:v>
      </x:c>
      <x:c r="H11" s="3"/>
      <x:c r="I11" s="1" t="s">
        <x:v>2133</x:v>
      </x:c>
      <x:c r="J11" s="3" t="s">
        <x:v>238</x:v>
      </x:c>
      <x:c r="K11" s="1" t="s">
        <x:v>2134</x:v>
      </x:c>
      <x:c r="L11" s="1" t="s">
        <x:v>2135</x:v>
      </x:c>
      <x:c r="M11" s="1" t="s">
        <x:v>2136</x:v>
      </x:c>
      <x:c r="N11" s="1"/>
    </x:row>
    <x:row r="12" ht="29.049999237060547" customHeight="1">
      <x:c r="A12" s="3" t="s">
        <x:v>745</x:v>
      </x:c>
      <x:c r="B12" s="1" t="s">
        <x:v>746</x:v>
      </x:c>
      <x:c r="C12" s="3" t="s">
        <x:v>2137</x:v>
      </x:c>
      <x:c r="D12" s="1" t="s">
        <x:v>86</x:v>
      </x:c>
      <x:c r="E12" s="3" t="s">
        <x:v>74</x:v>
      </x:c>
      <x:c r="F12" s="1" t="s">
        <x:v>231</x:v>
      </x:c>
      <x:c r="G12" s="3" t="s">
        <x:v>2138</x:v>
      </x:c>
      <x:c r="H12" s="3"/>
      <x:c r="I12" s="1" t="s">
        <x:v>2139</x:v>
      </x:c>
      <x:c r="J12" s="3" t="s">
        <x:v>238</x:v>
      </x:c>
      <x:c r="K12" s="1" t="s">
        <x:v>2140</x:v>
      </x:c>
      <x:c r="L12" s="1" t="s">
        <x:v>2141</x:v>
      </x:c>
      <x:c r="M12" s="1" t="s">
        <x:v>2142</x:v>
      </x:c>
      <x:c r="N12" s="1"/>
    </x:row>
    <x:row r="13" ht="28" customHeight="1">
      <x:c r="A13" s="3" t="s">
        <x:v>747</x:v>
      </x:c>
      <x:c r="B13" s="1" t="s">
        <x:v>748</x:v>
      </x:c>
      <x:c r="C13" s="1" t="s">
        <x:v>2143</x:v>
      </x:c>
      <x:c r="D13" s="1" t="s">
        <x:v>86</x:v>
      </x:c>
      <x:c r="E13" s="3" t="s">
        <x:v>74</x:v>
      </x:c>
      <x:c r="F13" s="1" t="s">
        <x:v>231</x:v>
      </x:c>
      <x:c r="G13" s="1" t="s">
        <x:v>2144</x:v>
      </x:c>
      <x:c r="H13" s="3"/>
      <x:c r="I13" s="1" t="s">
        <x:v>2145</x:v>
      </x:c>
      <x:c r="J13" s="3" t="s">
        <x:v>238</x:v>
      </x:c>
      <x:c r="K13" s="1" t="s">
        <x:v>2146</x:v>
      </x:c>
      <x:c r="L13" s="1" t="s">
        <x:v>2147</x:v>
      </x:c>
      <x:c r="M13" s="1" t="s">
        <x:v>2148</x:v>
      </x:c>
      <x:c r="N13" s="1"/>
    </x:row>
  </x:sheetData>
  <x:conditionalFormatting sqref="D2:D13">
    <x:cfRule type="expression" dxfId="17" priority="5">
      <x:formula>D2="1차"</x:formula>
    </x:cfRule>
    <x:cfRule type="expression" dxfId="16" priority="6">
      <x:formula>D2="2차"</x:formula>
    </x:cfRule>
    <x:cfRule type="expression" dxfId="15" priority="7">
      <x:formula>D2="공통"</x:formula>
    </x:cfRule>
  </x:conditionalFormatting>
  <x:conditionalFormatting sqref="E2:E13">
    <x:cfRule type="expression" dxfId="14" priority="2">
      <x:formula>E2="M"</x:formula>
    </x:cfRule>
    <x:cfRule type="expression" dxfId="13" priority="3">
      <x:formula>E2="S"</x:formula>
    </x:cfRule>
    <x:cfRule type="expression" dxfId="12" priority="4">
      <x:formula>E2="C"</x:formula>
    </x:cfRule>
  </x:conditionalFormatting>
  <x:dataValidations count="3">
    <x:dataValidation type="list" sqref="D2:D13">
      <x:formula1>"1차,2차,공통"</x:formula1>
      <x:formula2>0</x:formula2>
    </x:dataValidation>
    <x:dataValidation type="list" sqref="E2:E13">
      <x:formula1>"M,S,C,W"</x:formula1>
      <x:formula2>0</x:formula2>
    </x:dataValidation>
    <x:dataValidation type="list" sqref="F2:F13">
      <x:formula1>"상,중,하,-"</x:formula1>
      <x:formula2>0</x:formula2>
    </x:dataValidation>
  </x:dataValidations>
  <x:pageMargins left="0.7" right="0.7" top="0.75" bottom="0.75" header="0.3" footer="0.3"/>
  <x:tableParts count="1">
    <x:tablePart xmlns:r="http://schemas.openxmlformats.org/officeDocument/2006/relationships" r:id="R46084b3769844dda"/>
  </x:tableParts>
</x:worksheet>
</file>

<file path=xl/worksheets/sheet17.xml><?xml version="1.0" encoding="utf-8"?>
<x:worksheet xmlns:x="http://schemas.openxmlformats.org/spreadsheetml/2006/main">
  <x:sheetViews>
    <x:sheetView workbookViewId="0">
      <x:pane xSplit="2" ySplit="1" topLeftCell="C2" activePane="bottomRight" state="frozen"/>
    </x:sheetView>
  </x:sheetViews>
  <x:sheetFormatPr defaultColWidth="8.61328125" defaultRowHeight="12.449999809265137"/>
  <x:cols>
    <x:col min="1" max="1" width="18" customWidth="1"/>
    <x:col min="2" max="2" width="30" customWidth="1"/>
    <x:col min="3" max="3" width="38" customWidth="1"/>
    <x:col min="4" max="6" width="9" customWidth="1"/>
    <x:col min="7" max="7" width="50" customWidth="1"/>
    <x:col min="8" max="8" width="24" hidden="1" customWidth="1"/>
    <x:col min="9" max="9" width="31" customWidth="1"/>
    <x:col min="10" max="10" width="25" customWidth="1"/>
    <x:col min="11" max="11" width="50" customWidth="1"/>
    <x:col min="12" max="12" width="26" customWidth="1"/>
    <x:col min="13" max="13" width="40" customWidth="1"/>
    <x:col min="14" max="14" width="30" hidden="1" customWidth="1"/>
    <x:col min="15" max="15" width="8.61328125" customWidth="1"/>
  </x:cols>
  <x:sheetData>
    <x:row r="1" ht="14.050000190734863" customHeight="1">
      <x:c r="A1" s="2" t="s">
        <x:v>215</x:v>
      </x:c>
      <x:c r="B1" s="2" t="s">
        <x:v>216</x:v>
      </x:c>
      <x:c r="C1" s="2" t="s">
        <x:v>1180</x:v>
      </x:c>
      <x:c r="D1" s="2" t="s">
        <x:v>217</x:v>
      </x:c>
      <x:c r="E1" s="2" t="s">
        <x:v>219</x:v>
      </x:c>
      <x:c r="F1" s="2" t="s">
        <x:v>220</x:v>
      </x:c>
      <x:c r="G1" s="2" t="s">
        <x:v>1181</x:v>
      </x:c>
      <x:c r="H1" s="2" t="s">
        <x:v>224</x:v>
      </x:c>
      <x:c r="I1" s="2" t="s">
        <x:v>1182</x:v>
      </x:c>
      <x:c r="J1" s="2" t="s">
        <x:v>1183</x:v>
      </x:c>
      <x:c r="K1" s="2" t="s">
        <x:v>1184</x:v>
      </x:c>
      <x:c r="L1" s="2" t="s">
        <x:v>1185</x:v>
      </x:c>
      <x:c r="M1" s="2" t="s">
        <x:v>1186</x:v>
      </x:c>
      <x:c r="N1" s="2" t="s">
        <x:v>227</x:v>
      </x:c>
    </x:row>
    <x:row r="2" ht="28" customHeight="1">
      <x:c r="A2" s="3" t="s">
        <x:v>749</x:v>
      </x:c>
      <x:c r="B2" s="1" t="s">
        <x:v>750</x:v>
      </x:c>
      <x:c r="C2" s="1" t="s">
        <x:v>2149</x:v>
      </x:c>
      <x:c r="D2" s="1" t="s">
        <x:v>86</x:v>
      </x:c>
      <x:c r="E2" s="3" t="s">
        <x:v>74</x:v>
      </x:c>
      <x:c r="F2" s="1" t="s">
        <x:v>231</x:v>
      </x:c>
      <x:c r="G2" s="1" t="s">
        <x:v>2150</x:v>
      </x:c>
      <x:c r="H2" s="3"/>
      <x:c r="I2" s="1" t="s">
        <x:v>2151</x:v>
      </x:c>
      <x:c r="J2" s="3" t="s">
        <x:v>537</x:v>
      </x:c>
      <x:c r="K2" s="1" t="s">
        <x:v>2152</x:v>
      </x:c>
      <x:c r="L2" s="1" t="s">
        <x:v>2153</x:v>
      </x:c>
      <x:c r="M2" s="1" t="s">
        <x:v>2154</x:v>
      </x:c>
      <x:c r="N2" s="1"/>
    </x:row>
    <x:row r="3" ht="29.049999237060547" customHeight="1">
      <x:c r="A3" s="3" t="s">
        <x:v>752</x:v>
      </x:c>
      <x:c r="B3" s="1" t="s">
        <x:v>753</x:v>
      </x:c>
      <x:c r="C3" s="1" t="s">
        <x:v>2155</x:v>
      </x:c>
      <x:c r="D3" s="1" t="s">
        <x:v>86</x:v>
      </x:c>
      <x:c r="E3" s="3" t="s">
        <x:v>74</x:v>
      </x:c>
      <x:c r="F3" s="1" t="s">
        <x:v>231</x:v>
      </x:c>
      <x:c r="G3" s="3" t="s">
        <x:v>2156</x:v>
      </x:c>
      <x:c r="H3" s="3"/>
      <x:c r="I3" s="3" t="s">
        <x:v>2157</x:v>
      </x:c>
      <x:c r="J3" s="3" t="s">
        <x:v>238</x:v>
      </x:c>
      <x:c r="K3" s="1" t="s">
        <x:v>2158</x:v>
      </x:c>
      <x:c r="L3" s="1" t="s">
        <x:v>2159</x:v>
      </x:c>
      <x:c r="M3" s="1" t="s">
        <x:v>2160</x:v>
      </x:c>
      <x:c r="N3" s="1"/>
    </x:row>
    <x:row r="4" ht="29.049999237060547" customHeight="1">
      <x:c r="A4" s="3" t="s">
        <x:v>754</x:v>
      </x:c>
      <x:c r="B4" s="3" t="s">
        <x:v>755</x:v>
      </x:c>
      <x:c r="C4" s="1" t="s">
        <x:v>2161</x:v>
      </x:c>
      <x:c r="D4" s="1" t="s">
        <x:v>86</x:v>
      </x:c>
      <x:c r="E4" s="3" t="s">
        <x:v>74</x:v>
      </x:c>
      <x:c r="F4" s="1" t="s">
        <x:v>250</x:v>
      </x:c>
      <x:c r="G4" s="1" t="s">
        <x:v>2162</x:v>
      </x:c>
      <x:c r="H4" s="3"/>
      <x:c r="I4" s="3" t="s">
        <x:v>2163</x:v>
      </x:c>
      <x:c r="J4" s="1" t="s">
        <x:v>566</x:v>
      </x:c>
      <x:c r="K4" s="3" t="s">
        <x:v>2164</x:v>
      </x:c>
      <x:c r="L4" s="5" t="s">
        <x:v>1796</x:v>
      </x:c>
      <x:c r="M4" s="3" t="s">
        <x:v>2165</x:v>
      </x:c>
      <x:c r="N4" s="3"/>
    </x:row>
    <x:row r="5" ht="42" customHeight="1">
      <x:c r="A5" s="3" t="s">
        <x:v>756</x:v>
      </x:c>
      <x:c r="B5" s="1" t="s">
        <x:v>757</x:v>
      </x:c>
      <x:c r="C5" s="1" t="s">
        <x:v>2166</x:v>
      </x:c>
      <x:c r="D5" s="3" t="s">
        <x:v>77</x:v>
      </x:c>
      <x:c r="E5" s="3" t="s">
        <x:v>83</x:v>
      </x:c>
      <x:c r="F5" s="1" t="s">
        <x:v>231</x:v>
      </x:c>
      <x:c r="G5" s="1" t="s">
        <x:v>2167</x:v>
      </x:c>
      <x:c r="H5" s="3"/>
      <x:c r="I5" s="1" t="s">
        <x:v>2168</x:v>
      </x:c>
      <x:c r="J5" s="3" t="s">
        <x:v>238</x:v>
      </x:c>
      <x:c r="K5" s="1" t="s">
        <x:v>2169</x:v>
      </x:c>
      <x:c r="L5" s="1" t="s">
        <x:v>77</x:v>
      </x:c>
      <x:c r="M5" s="1" t="s">
        <x:v>2170</x:v>
      </x:c>
      <x:c r="N5" s="1"/>
    </x:row>
    <x:row r="6" ht="28" customHeight="1">
      <x:c r="A6" s="3" t="s">
        <x:v>759</x:v>
      </x:c>
      <x:c r="B6" s="1" t="s">
        <x:v>760</x:v>
      </x:c>
      <x:c r="C6" s="1" t="s">
        <x:v>2171</x:v>
      </x:c>
      <x:c r="D6" s="3" t="s">
        <x:v>77</x:v>
      </x:c>
      <x:c r="E6" s="3" t="s">
        <x:v>74</x:v>
      </x:c>
      <x:c r="F6" s="1" t="s">
        <x:v>237</x:v>
      </x:c>
      <x:c r="G6" s="1" t="s">
        <x:v>2172</x:v>
      </x:c>
      <x:c r="H6" s="3"/>
      <x:c r="I6" s="1" t="s">
        <x:v>2173</x:v>
      </x:c>
      <x:c r="J6" s="3" t="s">
        <x:v>438</x:v>
      </x:c>
      <x:c r="K6" s="1" t="s">
        <x:v>2174</x:v>
      </x:c>
      <x:c r="L6" s="1" t="s">
        <x:v>77</x:v>
      </x:c>
      <x:c r="M6" s="1" t="s">
        <x:v>2175</x:v>
      </x:c>
      <x:c r="N6" s="1" t="s">
        <x:v>762</x:v>
      </x:c>
    </x:row>
    <x:row r="7" ht="42" customHeight="1">
      <x:c r="A7" s="3" t="s">
        <x:v>763</x:v>
      </x:c>
      <x:c r="B7" s="1" t="s">
        <x:v>764</x:v>
      </x:c>
      <x:c r="C7" s="1" t="s">
        <x:v>2176</x:v>
      </x:c>
      <x:c r="D7" s="1" t="s">
        <x:v>86</x:v>
      </x:c>
      <x:c r="E7" s="3" t="s">
        <x:v>74</x:v>
      </x:c>
      <x:c r="F7" s="1" t="s">
        <x:v>231</x:v>
      </x:c>
      <x:c r="G7" s="1" t="s">
        <x:v>2177</x:v>
      </x:c>
      <x:c r="H7" s="3"/>
      <x:c r="I7" s="1" t="s">
        <x:v>2178</x:v>
      </x:c>
      <x:c r="J7" s="3" t="s">
        <x:v>234</x:v>
      </x:c>
      <x:c r="K7" s="1" t="s">
        <x:v>2179</x:v>
      </x:c>
      <x:c r="L7" s="1" t="s">
        <x:v>2180</x:v>
      </x:c>
      <x:c r="M7" s="1" t="s">
        <x:v>2181</x:v>
      </x:c>
      <x:c r="N7" s="1"/>
    </x:row>
  </x:sheetData>
  <x:conditionalFormatting sqref="D2:D7">
    <x:cfRule type="expression" dxfId="11" priority="5">
      <x:formula>D2="1차"</x:formula>
    </x:cfRule>
    <x:cfRule type="expression" dxfId="10" priority="6">
      <x:formula>D2="2차"</x:formula>
    </x:cfRule>
    <x:cfRule type="expression" dxfId="9" priority="7">
      <x:formula>D2="공통"</x:formula>
    </x:cfRule>
  </x:conditionalFormatting>
  <x:conditionalFormatting sqref="E2:E7">
    <x:cfRule type="expression" dxfId="8" priority="2">
      <x:formula>E2="M"</x:formula>
    </x:cfRule>
    <x:cfRule type="expression" dxfId="7" priority="3">
      <x:formula>E2="S"</x:formula>
    </x:cfRule>
    <x:cfRule type="expression" dxfId="6" priority="4">
      <x:formula>E2="C"</x:formula>
    </x:cfRule>
  </x:conditionalFormatting>
  <x:dataValidations count="3">
    <x:dataValidation type="list" sqref="D2:D7">
      <x:formula1>"1차,2차,공통"</x:formula1>
      <x:formula2>0</x:formula2>
    </x:dataValidation>
    <x:dataValidation type="list" sqref="E2:E7">
      <x:formula1>"M,S,C,W"</x:formula1>
      <x:formula2>0</x:formula2>
    </x:dataValidation>
    <x:dataValidation type="list" sqref="F2:F7">
      <x:formula1>"상,중,하,-"</x:formula1>
      <x:formula2>0</x:formula2>
    </x:dataValidation>
  </x:dataValidations>
  <x:pageMargins left="0.7" right="0.7" top="0.75" bottom="0.75" header="0.3" footer="0.3"/>
  <x:tableParts count="1">
    <x:tablePart xmlns:r="http://schemas.openxmlformats.org/officeDocument/2006/relationships" r:id="Rd17655aa90a64bc9"/>
  </x:tableParts>
</x:worksheet>
</file>

<file path=xl/worksheets/sheet18.xml><?xml version="1.0" encoding="utf-8"?>
<x:worksheet xmlns:x="http://schemas.openxmlformats.org/spreadsheetml/2006/main">
  <x:sheetFormatPr defaultColWidth="8.61328125" defaultRowHeight="12.449999809265137"/>
  <x:cols>
    <x:col min="1" max="1" width="18" customWidth="1"/>
    <x:col min="2" max="2" width="32" customWidth="1"/>
    <x:col min="3" max="3" width="14" customWidth="1"/>
    <x:col min="4" max="4" width="9" customWidth="1"/>
    <x:col min="5" max="5" width="17" customWidth="1"/>
    <x:col min="6" max="6" width="9" customWidth="1"/>
    <x:col min="7" max="7" width="24" customWidth="1"/>
    <x:col min="8" max="8" width="25" customWidth="1"/>
    <x:col min="9" max="9" width="28" customWidth="1"/>
    <x:col min="10" max="10" width="22" customWidth="1"/>
    <x:col min="11" max="11" width="34" customWidth="1"/>
    <x:col min="12" max="12" width="22" customWidth="1"/>
    <x:col min="13" max="13" width="12" customWidth="1"/>
    <x:col min="14" max="14" width="24" customWidth="1"/>
  </x:cols>
  <x:sheetData>
    <x:row r="1" ht="26.049999237060547" customHeight="1">
      <x:c r="A1" s="103" t="s">
        <x:v>215</x:v>
      </x:c>
      <x:c r="B1" s="103" t="s">
        <x:v>216</x:v>
      </x:c>
      <x:c r="C1" s="103" t="s">
        <x:v>100</x:v>
      </x:c>
      <x:c r="D1" s="103" t="s">
        <x:v>217</x:v>
      </x:c>
      <x:c r="E1" s="86" t="s">
        <x:v>218</x:v>
      </x:c>
      <x:c r="F1" s="103" t="s">
        <x:v>219</x:v>
      </x:c>
      <x:c r="G1" s="103" t="s">
        <x:v>2182</x:v>
      </x:c>
      <x:c r="H1" s="103" t="s">
        <x:v>2183</x:v>
      </x:c>
      <x:c r="I1" s="103" t="s">
        <x:v>2184</x:v>
      </x:c>
      <x:c r="J1" s="103" t="s">
        <x:v>2185</x:v>
      </x:c>
      <x:c r="K1" s="103" t="s">
        <x:v>1182</x:v>
      </x:c>
      <x:c r="L1" s="102" t="s">
        <x:v>225</x:v>
      </x:c>
      <x:c r="M1" s="103" t="s">
        <x:v>2186</x:v>
      </x:c>
      <x:c r="N1" s="103" t="s">
        <x:v>2187</x:v>
      </x:c>
    </x:row>
    <x:row r="2" ht="29.049999237060547" customHeight="1">
      <x:c r="A2" s="104" t="s">
        <x:v>228</x:v>
      </x:c>
      <x:c r="B2" s="105" t="s">
        <x:v>229</x:v>
      </x:c>
      <x:c r="C2" s="105" t="s">
        <x:v>104</x:v>
      </x:c>
      <x:c r="D2" s="106" t="s">
        <x:v>69</x:v>
      </x:c>
      <x:c r="E2" s="89" t="s">
        <x:v>230</x:v>
      </x:c>
      <x:c r="F2" s="107" t="s">
        <x:v>74</x:v>
      </x:c>
      <x:c r="G2" s="105" t="s">
        <x:v>2188</x:v>
      </x:c>
      <x:c r="H2" s="104" t="s">
        <x:v>2189</x:v>
      </x:c>
      <x:c r="I2" s="104" t="s">
        <x:v>2190</x:v>
      </x:c>
      <x:c r="J2" s="104" t="s">
        <x:v>2191</x:v>
      </x:c>
      <x:c r="K2" s="105" t="s">
        <x:v>1189</x:v>
      </x:c>
      <x:c r="L2" s="104" t="s">
        <x:v>233</x:v>
      </x:c>
      <x:c r="M2" s="105" t="s">
        <x:v>2192</x:v>
      </x:c>
      <x:c r="N2" s="104" t="s">
        <x:v>2193</x:v>
      </x:c>
    </x:row>
    <x:row r="3" ht="28" customHeight="1">
      <x:c r="A3" s="108" t="s">
        <x:v>235</x:v>
      </x:c>
      <x:c r="B3" s="109" t="s">
        <x:v>236</x:v>
      </x:c>
      <x:c r="C3" s="109" t="s">
        <x:v>104</x:v>
      </x:c>
      <x:c r="D3" s="106" t="s">
        <x:v>69</x:v>
      </x:c>
      <x:c r="E3" s="89" t="s">
        <x:v>230</x:v>
      </x:c>
      <x:c r="F3" s="107" t="s">
        <x:v>74</x:v>
      </x:c>
      <x:c r="G3" s="109" t="s">
        <x:v>2194</x:v>
      </x:c>
      <x:c r="H3" s="108" t="s">
        <x:v>2195</x:v>
      </x:c>
      <x:c r="I3" s="109" t="s">
        <x:v>2196</x:v>
      </x:c>
      <x:c r="J3" s="108" t="s">
        <x:v>2197</x:v>
      </x:c>
      <x:c r="K3" s="109" t="s">
        <x:v>1195</x:v>
      </x:c>
      <x:c r="L3" s="108" t="s">
        <x:v>233</x:v>
      </x:c>
      <x:c r="M3" s="109" t="s">
        <x:v>2192</x:v>
      </x:c>
      <x:c r="N3" s="108" t="s">
        <x:v>2198</x:v>
      </x:c>
    </x:row>
    <x:row r="4" ht="96.44999694824219" customHeight="1">
      <x:c r="A4" s="104" t="s">
        <x:v>239</x:v>
      </x:c>
      <x:c r="B4" s="105" t="s">
        <x:v>240</x:v>
      </x:c>
      <x:c r="C4" s="105" t="s">
        <x:v>104</x:v>
      </x:c>
      <x:c r="D4" s="110" t="s">
        <x:v>77</x:v>
      </x:c>
      <x:c r="E4" s="93" t="s">
        <x:v>241</x:v>
      </x:c>
      <x:c r="F4" s="111" t="s">
        <x:v>83</x:v>
      </x:c>
      <x:c r="G4" s="105" t="s">
        <x:v>2199</x:v>
      </x:c>
      <x:c r="H4" s="104" t="s">
        <x:v>680</x:v>
      </x:c>
      <x:c r="I4" s="104" t="s">
        <x:v>2200</x:v>
      </x:c>
      <x:c r="J4" s="104" t="s">
        <x:v>680</x:v>
      </x:c>
      <x:c r="K4" s="105" t="s">
        <x:v>1201</x:v>
      </x:c>
      <x:c r="L4" s="104" t="s">
        <x:v>233</x:v>
      </x:c>
      <x:c r="M4" s="105" t="s">
        <x:v>2201</x:v>
      </x:c>
      <x:c r="N4" s="104" t="s">
        <x:v>2202</x:v>
      </x:c>
    </x:row>
    <x:row r="5" ht="109.6500015258789" customHeight="1">
      <x:c r="A5" s="108" t="s">
        <x:v>243</x:v>
      </x:c>
      <x:c r="B5" s="109" t="str">
        <x:v>세션 만료 및 재인증</x:v>
      </x:c>
      <x:c r="C5" s="109" t="s">
        <x:v>104</x:v>
      </x:c>
      <x:c r="D5" s="110" t="s">
        <x:v>77</x:v>
      </x:c>
      <x:c r="E5" s="137" t="str">
        <x:v>미진행</x:v>
      </x:c>
      <x:c r="F5" s="111" t="str">
        <x:v>S</x:v>
      </x:c>
      <x:c r="G5" s="109" t="str">
        <x:v>화면정의서 v3.0 §6-5 제외 기록 · 인터페이스 §0-4·§12-3</x:v>
      </x:c>
      <x:c r="H5" s="108" t="s">
        <x:v>2203</x:v>
      </x:c>
      <x:c r="I5" s="108" t="str">
        <x:v>AUTH-W01 기존 인증 유지 / 신규 재인증 API 없음</x:v>
      </x:c>
      <x:c r="J5" s="108" t="s">
        <x:v>2204</x:v>
      </x:c>
      <x:c r="K5" s="109" t="str">
        <x:v>보안설계서/테스트결과서</x:v>
      </x:c>
      <x:c r="L5" s="108" t="s">
        <x:v>233</x:v>
      </x:c>
      <x:c r="M5" s="109" t="str">
        <x:v>범위 밖(v3.0)</x:v>
      </x:c>
      <x:c r="N5" s="108" t="str">
        <x:v>v3.0 (2026-10-27, 현준 회의 반영): 추가 미사용 만료·중요 작업 재인증은 2차 범위에서 제외한다. 기존 로그인·JWT/세션 만료·Refresh 처리는 유지한다. 원안은 추적용이며 신규 구현·인수 대상이 아니다.
기존 구현·테스트 완료를 의미하지 않는다. 이전 기능 정의와 추적은 Z1 개정이력 및 원본에서 보존한다.</x:v>
      </x:c>
    </x:row>
    <x:row r="6" ht="29.049999237060547" customHeight="1">
      <x:c r="A6" s="104" t="s">
        <x:v>244</x:v>
      </x:c>
      <x:c r="B6" s="104" t="s">
        <x:v>245</x:v>
      </x:c>
      <x:c r="C6" s="105" t="s">
        <x:v>104</x:v>
      </x:c>
      <x:c r="D6" s="106" t="s">
        <x:v>69</x:v>
      </x:c>
      <x:c r="E6" s="89" t="s">
        <x:v>230</x:v>
      </x:c>
      <x:c r="F6" s="111" t="s">
        <x:v>83</x:v>
      </x:c>
      <x:c r="G6" s="105" t="s">
        <x:v>2205</x:v>
      </x:c>
      <x:c r="H6" s="104" t="s">
        <x:v>2206</x:v>
      </x:c>
      <x:c r="I6" s="104" t="s">
        <x:v>2207</x:v>
      </x:c>
      <x:c r="J6" s="104" t="s">
        <x:v>2208</x:v>
      </x:c>
      <x:c r="K6" s="104" t="s">
        <x:v>1214</x:v>
      </x:c>
      <x:c r="L6" s="104" t="s">
        <x:v>246</x:v>
      </x:c>
      <x:c r="M6" s="105" t="s">
        <x:v>2192</x:v>
      </x:c>
      <x:c r="N6" s="104" t="s">
        <x:v>2209</x:v>
      </x:c>
    </x:row>
    <x:row r="7" ht="29.049999237060547" customHeight="1">
      <x:c r="A7" s="108" t="s">
        <x:v>248</x:v>
      </x:c>
      <x:c r="B7" s="109" t="s">
        <x:v>249</x:v>
      </x:c>
      <x:c r="C7" s="109" t="s">
        <x:v>104</x:v>
      </x:c>
      <x:c r="D7" s="106" t="s">
        <x:v>69</x:v>
      </x:c>
      <x:c r="E7" s="89" t="s">
        <x:v>230</x:v>
      </x:c>
      <x:c r="F7" s="111" t="s">
        <x:v>83</x:v>
      </x:c>
      <x:c r="G7" s="109" t="s">
        <x:v>2210</x:v>
      </x:c>
      <x:c r="H7" s="108" t="s">
        <x:v>2206</x:v>
      </x:c>
      <x:c r="I7" s="108" t="s">
        <x:v>2211</x:v>
      </x:c>
      <x:c r="J7" s="108" t="s">
        <x:v>2212</x:v>
      </x:c>
      <x:c r="K7" s="108" t="s">
        <x:v>1214</x:v>
      </x:c>
      <x:c r="L7" s="108" t="s">
        <x:v>246</x:v>
      </x:c>
      <x:c r="M7" s="109" t="s">
        <x:v>2192</x:v>
      </x:c>
      <x:c r="N7" s="108" t="s">
        <x:v>2213</x:v>
      </x:c>
    </x:row>
    <x:row r="8" ht="43.5" customHeight="1">
      <x:c r="A8" s="104" t="s">
        <x:v>252</x:v>
      </x:c>
      <x:c r="B8" s="105" t="s">
        <x:v>253</x:v>
      </x:c>
      <x:c r="C8" s="105" t="s">
        <x:v>104</x:v>
      </x:c>
      <x:c r="D8" s="106" t="s">
        <x:v>69</x:v>
      </x:c>
      <x:c r="E8" s="89" t="s">
        <x:v>230</x:v>
      </x:c>
      <x:c r="F8" s="111" t="s">
        <x:v>83</x:v>
      </x:c>
      <x:c r="G8" s="105" t="s">
        <x:v>2214</x:v>
      </x:c>
      <x:c r="H8" s="104" t="s">
        <x:v>2215</x:v>
      </x:c>
      <x:c r="I8" s="104" t="s">
        <x:v>2216</x:v>
      </x:c>
      <x:c r="J8" s="104" t="s">
        <x:v>2217</x:v>
      </x:c>
      <x:c r="K8" s="104" t="s">
        <x:v>1225</x:v>
      </x:c>
      <x:c r="L8" s="104" t="s">
        <x:v>246</x:v>
      </x:c>
      <x:c r="M8" s="105" t="s">
        <x:v>2192</x:v>
      </x:c>
      <x:c r="N8" s="104" t="s">
        <x:v>2218</x:v>
      </x:c>
    </x:row>
    <x:row r="9" ht="43.5" customHeight="1">
      <x:c r="A9" s="108" t="s">
        <x:v>256</x:v>
      </x:c>
      <x:c r="B9" s="109" t="s">
        <x:v>257</x:v>
      </x:c>
      <x:c r="C9" s="109" t="s">
        <x:v>104</x:v>
      </x:c>
      <x:c r="D9" s="106" t="s">
        <x:v>69</x:v>
      </x:c>
      <x:c r="E9" s="89" t="s">
        <x:v>230</x:v>
      </x:c>
      <x:c r="F9" s="111" t="s">
        <x:v>83</x:v>
      </x:c>
      <x:c r="G9" s="109" t="s">
        <x:v>2219</x:v>
      </x:c>
      <x:c r="H9" s="108" t="s">
        <x:v>2206</x:v>
      </x:c>
      <x:c r="I9" s="108" t="s">
        <x:v>2220</x:v>
      </x:c>
      <x:c r="J9" s="108" t="s">
        <x:v>2221</x:v>
      </x:c>
      <x:c r="K9" s="108" t="s">
        <x:v>1214</x:v>
      </x:c>
      <x:c r="L9" s="108" t="s">
        <x:v>246</x:v>
      </x:c>
      <x:c r="M9" s="109" t="s">
        <x:v>2192</x:v>
      </x:c>
      <x:c r="N9" s="108" t="s">
        <x:v>2222</x:v>
      </x:c>
    </x:row>
    <x:row r="10" ht="43.5" customHeight="1">
      <x:c r="A10" s="104" t="s">
        <x:v>260</x:v>
      </x:c>
      <x:c r="B10" s="105" t="s">
        <x:v>261</x:v>
      </x:c>
      <x:c r="C10" s="105" t="s">
        <x:v>104</x:v>
      </x:c>
      <x:c r="D10" s="106" t="s">
        <x:v>69</x:v>
      </x:c>
      <x:c r="E10" s="89" t="s">
        <x:v>230</x:v>
      </x:c>
      <x:c r="F10" s="111" t="s">
        <x:v>83</x:v>
      </x:c>
      <x:c r="G10" s="105" t="s">
        <x:v>2223</x:v>
      </x:c>
      <x:c r="H10" s="104" t="s">
        <x:v>2224</x:v>
      </x:c>
      <x:c r="I10" s="104" t="s">
        <x:v>2225</x:v>
      </x:c>
      <x:c r="J10" s="104" t="s">
        <x:v>2226</x:v>
      </x:c>
      <x:c r="K10" s="105" t="s">
        <x:v>1239</x:v>
      </x:c>
      <x:c r="L10" s="104" t="s">
        <x:v>246</x:v>
      </x:c>
      <x:c r="M10" s="105" t="s">
        <x:v>2192</x:v>
      </x:c>
      <x:c r="N10" s="104" t="s">
        <x:v>2227</x:v>
      </x:c>
    </x:row>
    <x:row r="11" ht="136" customHeight="1">
      <x:c r="A11" s="108" t="s">
        <x:v>265</x:v>
      </x:c>
      <x:c r="B11" s="109" t="s">
        <x:v>266</x:v>
      </x:c>
      <x:c r="C11" s="109" t="s">
        <x:v>104</x:v>
      </x:c>
      <x:c r="D11" s="110" t="s">
        <x:v>77</x:v>
      </x:c>
      <x:c r="E11" s="95" t="s">
        <x:v>267</x:v>
      </x:c>
      <x:c r="F11" s="111" t="s">
        <x:v>83</x:v>
      </x:c>
      <x:c r="G11" s="109" t="s">
        <x:v>2228</x:v>
      </x:c>
      <x:c r="H11" s="108" t="s">
        <x:v>680</x:v>
      </x:c>
      <x:c r="I11" s="108" t="s">
        <x:v>2229</x:v>
      </x:c>
      <x:c r="J11" s="108" t="s">
        <x:v>680</x:v>
      </x:c>
      <x:c r="K11" s="108" t="s">
        <x:v>1245</x:v>
      </x:c>
      <x:c r="L11" s="108" t="s">
        <x:v>246</x:v>
      </x:c>
      <x:c r="M11" s="109" t="s">
        <x:v>2230</x:v>
      </x:c>
      <x:c r="N11" s="108" t="s">
        <x:v>2231</x:v>
      </x:c>
    </x:row>
    <x:row r="12" ht="58" customHeight="1">
      <x:c r="A12" s="104" t="s">
        <x:v>271</x:v>
      </x:c>
      <x:c r="B12" s="105" t="s">
        <x:v>272</x:v>
      </x:c>
      <x:c r="C12" s="105" t="s">
        <x:v>104</x:v>
      </x:c>
      <x:c r="D12" s="106" t="s">
        <x:v>69</x:v>
      </x:c>
      <x:c r="E12" s="89" t="s">
        <x:v>230</x:v>
      </x:c>
      <x:c r="F12" s="107" t="s">
        <x:v>74</x:v>
      </x:c>
      <x:c r="G12" s="105" t="s">
        <x:v>2232</x:v>
      </x:c>
      <x:c r="H12" s="104" t="s">
        <x:v>2233</x:v>
      </x:c>
      <x:c r="I12" s="104" t="s">
        <x:v>2234</x:v>
      </x:c>
      <x:c r="J12" s="104" t="s">
        <x:v>2235</x:v>
      </x:c>
      <x:c r="K12" s="105" t="s">
        <x:v>1251</x:v>
      </x:c>
      <x:c r="L12" s="104" t="s">
        <x:v>274</x:v>
      </x:c>
      <x:c r="M12" s="105" t="s">
        <x:v>2192</x:v>
      </x:c>
      <x:c r="N12" s="104" t="s">
        <x:v>2236</x:v>
      </x:c>
    </x:row>
    <x:row r="13" ht="72.55000305175781" customHeight="1">
      <x:c r="A13" s="108" t="s">
        <x:v>277</x:v>
      </x:c>
      <x:c r="B13" s="109" t="s">
        <x:v>278</x:v>
      </x:c>
      <x:c r="C13" s="109" t="s">
        <x:v>104</x:v>
      </x:c>
      <x:c r="D13" s="106" t="s">
        <x:v>69</x:v>
      </x:c>
      <x:c r="E13" s="89" t="s">
        <x:v>230</x:v>
      </x:c>
      <x:c r="F13" s="107" t="s">
        <x:v>74</x:v>
      </x:c>
      <x:c r="G13" s="109" t="s">
        <x:v>2237</x:v>
      </x:c>
      <x:c r="H13" s="108" t="s">
        <x:v>2238</x:v>
      </x:c>
      <x:c r="I13" s="108" t="s">
        <x:v>2239</x:v>
      </x:c>
      <x:c r="J13" s="108" t="s">
        <x:v>2240</x:v>
      </x:c>
      <x:c r="K13" s="109" t="s">
        <x:v>1257</x:v>
      </x:c>
      <x:c r="L13" s="108" t="s">
        <x:v>274</x:v>
      </x:c>
      <x:c r="M13" s="109" t="s">
        <x:v>2192</x:v>
      </x:c>
      <x:c r="N13" s="108" t="s">
        <x:v>2241</x:v>
      </x:c>
    </x:row>
    <x:row r="14" ht="87" customHeight="1">
      <x:c r="A14" s="104" t="s">
        <x:v>281</x:v>
      </x:c>
      <x:c r="B14" s="104" t="s">
        <x:v>282</x:v>
      </x:c>
      <x:c r="C14" s="105" t="s">
        <x:v>104</x:v>
      </x:c>
      <x:c r="D14" s="106" t="s">
        <x:v>69</x:v>
      </x:c>
      <x:c r="E14" s="89" t="s">
        <x:v>230</x:v>
      </x:c>
      <x:c r="F14" s="107" t="s">
        <x:v>74</x:v>
      </x:c>
      <x:c r="G14" s="105" t="s">
        <x:v>2242</x:v>
      </x:c>
      <x:c r="H14" s="104" t="s">
        <x:v>2243</x:v>
      </x:c>
      <x:c r="I14" s="104" t="s">
        <x:v>2244</x:v>
      </x:c>
      <x:c r="J14" s="104" t="s">
        <x:v>2245</x:v>
      </x:c>
      <x:c r="K14" s="105" t="s">
        <x:v>1265</x:v>
      </x:c>
      <x:c r="L14" s="104" t="s">
        <x:v>274</x:v>
      </x:c>
      <x:c r="M14" s="105" t="s">
        <x:v>2192</x:v>
      </x:c>
      <x:c r="N14" s="104" t="s">
        <x:v>2246</x:v>
      </x:c>
    </x:row>
    <x:row r="15" ht="188.8000030517578" customHeight="1">
      <x:c r="A15" s="108" t="s">
        <x:v>286</x:v>
      </x:c>
      <x:c r="B15" s="109" t="s">
        <x:v>287</x:v>
      </x:c>
      <x:c r="C15" s="109" t="s">
        <x:v>104</x:v>
      </x:c>
      <x:c r="D15" s="110" t="s">
        <x:v>77</x:v>
      </x:c>
      <x:c r="E15" s="89" t="s">
        <x:v>230</x:v>
      </x:c>
      <x:c r="F15" s="107" t="s">
        <x:v>74</x:v>
      </x:c>
      <x:c r="G15" s="109" t="s">
        <x:v>2247</x:v>
      </x:c>
      <x:c r="H15" s="108" t="s">
        <x:v>2248</x:v>
      </x:c>
      <x:c r="I15" s="108" t="s">
        <x:v>2249</x:v>
      </x:c>
      <x:c r="J15" s="108" t="s">
        <x:v>2250</x:v>
      </x:c>
      <x:c r="K15" s="109" t="s">
        <x:v>1273</x:v>
      </x:c>
      <x:c r="L15" s="108" t="s">
        <x:v>274</x:v>
      </x:c>
      <x:c r="M15" s="109" t="s">
        <x:v>2251</x:v>
      </x:c>
      <x:c r="N15" s="108" t="s">
        <x:v>2252</x:v>
      </x:c>
    </x:row>
    <x:row r="16" ht="122.80000305175781" customHeight="1">
      <x:c r="A16" s="104" t="s">
        <x:v>291</x:v>
      </x:c>
      <x:c r="B16" s="105" t="s">
        <x:v>292</x:v>
      </x:c>
      <x:c r="C16" s="105" t="s">
        <x:v>104</x:v>
      </x:c>
      <x:c r="D16" s="110" t="s">
        <x:v>77</x:v>
      </x:c>
      <x:c r="E16" s="89" t="s">
        <x:v>230</x:v>
      </x:c>
      <x:c r="F16" s="107" t="s">
        <x:v>74</x:v>
      </x:c>
      <x:c r="G16" s="105" t="s">
        <x:v>2253</x:v>
      </x:c>
      <x:c r="H16" s="104" t="s">
        <x:v>2254</x:v>
      </x:c>
      <x:c r="I16" s="104" t="s">
        <x:v>2255</x:v>
      </x:c>
      <x:c r="J16" s="104" t="s">
        <x:v>680</x:v>
      </x:c>
      <x:c r="K16" s="105" t="s">
        <x:v>1280</x:v>
      </x:c>
      <x:c r="L16" s="104" t="s">
        <x:v>274</x:v>
      </x:c>
      <x:c r="M16" s="105" t="s">
        <x:v>2251</x:v>
      </x:c>
      <x:c r="N16" s="104" t="s">
        <x:v>2256</x:v>
      </x:c>
    </x:row>
    <x:row r="17" ht="202" customHeight="1">
      <x:c r="A17" s="108" t="s">
        <x:v>294</x:v>
      </x:c>
      <x:c r="B17" s="109" t="s">
        <x:v>295</x:v>
      </x:c>
      <x:c r="C17" s="109" t="s">
        <x:v>104</x:v>
      </x:c>
      <x:c r="D17" s="110" t="s">
        <x:v>77</x:v>
      </x:c>
      <x:c r="E17" s="89" t="s">
        <x:v>230</x:v>
      </x:c>
      <x:c r="F17" s="111" t="s">
        <x:v>83</x:v>
      </x:c>
      <x:c r="G17" s="109" t="s">
        <x:v>2257</x:v>
      </x:c>
      <x:c r="H17" s="108" t="s">
        <x:v>2258</x:v>
      </x:c>
      <x:c r="I17" s="108" t="s">
        <x:v>2244</x:v>
      </x:c>
      <x:c r="J17" s="108" t="s">
        <x:v>2259</x:v>
      </x:c>
      <x:c r="K17" s="109" t="s">
        <x:v>1286</x:v>
      </x:c>
      <x:c r="L17" s="108" t="s">
        <x:v>274</x:v>
      </x:c>
      <x:c r="M17" s="109" t="s">
        <x:v>2251</x:v>
      </x:c>
      <x:c r="N17" s="108" t="s">
        <x:v>2260</x:v>
      </x:c>
    </x:row>
    <x:row r="18" ht="188.8000030517578" customHeight="1">
      <x:c r="A18" s="104" t="s">
        <x:v>298</x:v>
      </x:c>
      <x:c r="B18" s="105" t="s">
        <x:v>299</x:v>
      </x:c>
      <x:c r="C18" s="105" t="s">
        <x:v>104</x:v>
      </x:c>
      <x:c r="D18" s="110" t="s">
        <x:v>77</x:v>
      </x:c>
      <x:c r="E18" s="89" t="s">
        <x:v>230</x:v>
      </x:c>
      <x:c r="F18" s="111" t="s">
        <x:v>83</x:v>
      </x:c>
      <x:c r="G18" s="105" t="s">
        <x:v>2261</x:v>
      </x:c>
      <x:c r="H18" s="104" t="s">
        <x:v>680</x:v>
      </x:c>
      <x:c r="I18" s="104" t="s">
        <x:v>2262</x:v>
      </x:c>
      <x:c r="J18" s="104" t="s">
        <x:v>680</x:v>
      </x:c>
      <x:c r="K18" s="105" t="s">
        <x:v>1292</x:v>
      </x:c>
      <x:c r="L18" s="104" t="s">
        <x:v>274</x:v>
      </x:c>
      <x:c r="M18" s="105" t="s">
        <x:v>2201</x:v>
      </x:c>
      <x:c r="N18" s="104" t="s">
        <x:v>2263</x:v>
      </x:c>
    </x:row>
    <x:row r="19" ht="72.55000305175781" customHeight="1">
      <x:c r="A19" s="108" t="s">
        <x:v>303</x:v>
      </x:c>
      <x:c r="B19" s="109" t="s">
        <x:v>304</x:v>
      </x:c>
      <x:c r="C19" s="109" t="s">
        <x:v>104</x:v>
      </x:c>
      <x:c r="D19" s="106" t="s">
        <x:v>69</x:v>
      </x:c>
      <x:c r="E19" s="89" t="s">
        <x:v>230</x:v>
      </x:c>
      <x:c r="F19" s="107" t="s">
        <x:v>74</x:v>
      </x:c>
      <x:c r="G19" s="109" t="s">
        <x:v>2264</x:v>
      </x:c>
      <x:c r="H19" s="108" t="s">
        <x:v>2265</x:v>
      </x:c>
      <x:c r="I19" s="108" t="s">
        <x:v>2266</x:v>
      </x:c>
      <x:c r="J19" s="108" t="s">
        <x:v>2267</x:v>
      </x:c>
      <x:c r="K19" s="109" t="s">
        <x:v>1298</x:v>
      </x:c>
      <x:c r="L19" s="108" t="s">
        <x:v>306</x:v>
      </x:c>
      <x:c r="M19" s="109" t="s">
        <x:v>2192</x:v>
      </x:c>
      <x:c r="N19" s="108" t="s">
        <x:v>2268</x:v>
      </x:c>
    </x:row>
    <x:row r="20" ht="109.6500015258789" customHeight="1">
      <x:c r="A20" s="104" t="s">
        <x:v>308</x:v>
      </x:c>
      <x:c r="B20" s="105" t="s">
        <x:v>309</x:v>
      </x:c>
      <x:c r="C20" s="105" t="s">
        <x:v>104</x:v>
      </x:c>
      <x:c r="D20" s="110" t="s">
        <x:v>77</x:v>
      </x:c>
      <x:c r="E20" s="89" t="s">
        <x:v>230</x:v>
      </x:c>
      <x:c r="F20" s="107" t="s">
        <x:v>74</x:v>
      </x:c>
      <x:c r="G20" s="105" t="s">
        <x:v>2269</x:v>
      </x:c>
      <x:c r="H20" s="104" t="s">
        <x:v>2270</x:v>
      </x:c>
      <x:c r="I20" s="104" t="s">
        <x:v>2255</x:v>
      </x:c>
      <x:c r="J20" s="104" t="s">
        <x:v>680</x:v>
      </x:c>
      <x:c r="K20" s="105" t="s">
        <x:v>1304</x:v>
      </x:c>
      <x:c r="L20" s="104" t="s">
        <x:v>306</x:v>
      </x:c>
      <x:c r="M20" s="105" t="s">
        <x:v>2251</x:v>
      </x:c>
      <x:c r="N20" s="104" t="s">
        <x:v>2271</x:v>
      </x:c>
    </x:row>
    <x:row r="21" ht="136" customHeight="1">
      <x:c r="A21" s="108" t="s">
        <x:v>311</x:v>
      </x:c>
      <x:c r="B21" s="109" t="s">
        <x:v>312</x:v>
      </x:c>
      <x:c r="C21" s="109" t="s">
        <x:v>104</x:v>
      </x:c>
      <x:c r="D21" s="110" t="s">
        <x:v>77</x:v>
      </x:c>
      <x:c r="E21" s="89" t="s">
        <x:v>230</x:v>
      </x:c>
      <x:c r="F21" s="107" t="s">
        <x:v>74</x:v>
      </x:c>
      <x:c r="G21" s="109" t="s">
        <x:v>2272</x:v>
      </x:c>
      <x:c r="H21" s="108" t="s">
        <x:v>2273</x:v>
      </x:c>
      <x:c r="I21" s="108" t="s">
        <x:v>2274</x:v>
      </x:c>
      <x:c r="J21" s="108" t="s">
        <x:v>2275</x:v>
      </x:c>
      <x:c r="K21" s="109" t="s">
        <x:v>1310</x:v>
      </x:c>
      <x:c r="L21" s="108" t="s">
        <x:v>306</x:v>
      </x:c>
      <x:c r="M21" s="109" t="s">
        <x:v>2251</x:v>
      </x:c>
      <x:c r="N21" s="108" t="s">
        <x:v>2276</x:v>
      </x:c>
    </x:row>
    <x:row r="22" ht="294.45001220703125" customHeight="1">
      <x:c r="A22" s="104" t="s">
        <x:v>314</x:v>
      </x:c>
      <x:c r="B22" s="105" t="s">
        <x:v>315</x:v>
      </x:c>
      <x:c r="C22" s="105" t="s">
        <x:v>104</x:v>
      </x:c>
      <x:c r="D22" s="110" t="s">
        <x:v>77</x:v>
      </x:c>
      <x:c r="E22" s="89" t="s">
        <x:v>230</x:v>
      </x:c>
      <x:c r="F22" s="111" t="s">
        <x:v>83</x:v>
      </x:c>
      <x:c r="G22" s="105" t="s">
        <x:v>2277</x:v>
      </x:c>
      <x:c r="H22" s="104" t="s">
        <x:v>2278</x:v>
      </x:c>
      <x:c r="I22" s="104" t="s">
        <x:v>2279</x:v>
      </x:c>
      <x:c r="J22" s="104" t="s">
        <x:v>2280</x:v>
      </x:c>
      <x:c r="K22" s="105" t="s">
        <x:v>1316</x:v>
      </x:c>
      <x:c r="L22" s="104" t="s">
        <x:v>306</x:v>
      </x:c>
      <x:c r="M22" s="105" t="s">
        <x:v>316</x:v>
      </x:c>
      <x:c r="N22" s="104" t="s">
        <x:v>2281</x:v>
      </x:c>
    </x:row>
    <x:row r="23" ht="122.80000305175781" customHeight="1">
      <x:c r="A23" s="108" t="s">
        <x:v>318</x:v>
      </x:c>
      <x:c r="B23" s="109" t="s">
        <x:v>319</x:v>
      </x:c>
      <x:c r="C23" s="109" t="s">
        <x:v>104</x:v>
      </x:c>
      <x:c r="D23" s="110" t="s">
        <x:v>77</x:v>
      </x:c>
      <x:c r="E23" s="89" t="s">
        <x:v>230</x:v>
      </x:c>
      <x:c r="F23" s="107" t="s">
        <x:v>74</x:v>
      </x:c>
      <x:c r="G23" s="109" t="s">
        <x:v>2269</x:v>
      </x:c>
      <x:c r="H23" s="108" t="s">
        <x:v>2282</x:v>
      </x:c>
      <x:c r="I23" s="108" t="s">
        <x:v>2255</x:v>
      </x:c>
      <x:c r="J23" s="108" t="s">
        <x:v>680</x:v>
      </x:c>
      <x:c r="K23" s="109" t="s">
        <x:v>1322</x:v>
      </x:c>
      <x:c r="L23" s="108" t="s">
        <x:v>306</x:v>
      </x:c>
      <x:c r="M23" s="109" t="s">
        <x:v>2251</x:v>
      </x:c>
      <x:c r="N23" s="108" t="s">
        <x:v>2283</x:v>
      </x:c>
    </x:row>
    <x:row r="24" ht="136" customHeight="1">
      <x:c r="A24" s="104" t="s">
        <x:v>322</x:v>
      </x:c>
      <x:c r="B24" s="105" t="s">
        <x:v>323</x:v>
      </x:c>
      <x:c r="C24" s="105" t="s">
        <x:v>104</x:v>
      </x:c>
      <x:c r="D24" s="110" t="s">
        <x:v>77</x:v>
      </x:c>
      <x:c r="E24" s="89" t="s">
        <x:v>230</x:v>
      </x:c>
      <x:c r="F24" s="111" t="s">
        <x:v>83</x:v>
      </x:c>
      <x:c r="G24" s="105" t="s">
        <x:v>2269</x:v>
      </x:c>
      <x:c r="H24" s="104" t="s">
        <x:v>680</x:v>
      </x:c>
      <x:c r="I24" s="104" t="s">
        <x:v>2255</x:v>
      </x:c>
      <x:c r="J24" s="104" t="s">
        <x:v>680</x:v>
      </x:c>
      <x:c r="K24" s="105" t="s">
        <x:v>1328</x:v>
      </x:c>
      <x:c r="L24" s="104" t="s">
        <x:v>306</x:v>
      </x:c>
      <x:c r="M24" s="105" t="s">
        <x:v>2201</x:v>
      </x:c>
      <x:c r="N24" s="104" t="s">
        <x:v>2284</x:v>
      </x:c>
    </x:row>
    <x:row r="25" ht="58" customHeight="1">
      <x:c r="A25" s="108" t="s">
        <x:v>326</x:v>
      </x:c>
      <x:c r="B25" s="109" t="s">
        <x:v>327</x:v>
      </x:c>
      <x:c r="C25" s="109" t="s">
        <x:v>104</x:v>
      </x:c>
      <x:c r="D25" s="106" t="s">
        <x:v>69</x:v>
      </x:c>
      <x:c r="E25" s="89" t="s">
        <x:v>230</x:v>
      </x:c>
      <x:c r="F25" s="107" t="s">
        <x:v>74</x:v>
      </x:c>
      <x:c r="G25" s="109" t="s">
        <x:v>2285</x:v>
      </x:c>
      <x:c r="H25" s="108" t="s">
        <x:v>2286</x:v>
      </x:c>
      <x:c r="I25" s="108" t="s">
        <x:v>2287</x:v>
      </x:c>
      <x:c r="J25" s="108" t="s">
        <x:v>2288</x:v>
      </x:c>
      <x:c r="K25" s="109" t="s">
        <x:v>1334</x:v>
      </x:c>
      <x:c r="L25" s="108" t="s">
        <x:v>329</x:v>
      </x:c>
      <x:c r="M25" s="109" t="s">
        <x:v>2192</x:v>
      </x:c>
      <x:c r="N25" s="108" t="s">
        <x:v>2289</x:v>
      </x:c>
    </x:row>
    <x:row r="26" ht="72.55000305175781" customHeight="1">
      <x:c r="A26" s="104" t="s">
        <x:v>332</x:v>
      </x:c>
      <x:c r="B26" s="105" t="s">
        <x:v>333</x:v>
      </x:c>
      <x:c r="C26" s="105" t="s">
        <x:v>104</x:v>
      </x:c>
      <x:c r="D26" s="106" t="s">
        <x:v>69</x:v>
      </x:c>
      <x:c r="E26" s="89" t="s">
        <x:v>230</x:v>
      </x:c>
      <x:c r="F26" s="107" t="s">
        <x:v>74</x:v>
      </x:c>
      <x:c r="G26" s="105" t="s">
        <x:v>2290</x:v>
      </x:c>
      <x:c r="H26" s="104" t="s">
        <x:v>2291</x:v>
      </x:c>
      <x:c r="I26" s="104" t="s">
        <x:v>2292</x:v>
      </x:c>
      <x:c r="J26" s="104" t="s">
        <x:v>2293</x:v>
      </x:c>
      <x:c r="K26" s="105" t="s">
        <x:v>1341</x:v>
      </x:c>
      <x:c r="L26" s="104" t="s">
        <x:v>329</x:v>
      </x:c>
      <x:c r="M26" s="105" t="s">
        <x:v>2192</x:v>
      </x:c>
      <x:c r="N26" s="104" t="s">
        <x:v>2294</x:v>
      </x:c>
    </x:row>
    <x:row r="27" ht="29.049999237060547" customHeight="1">
      <x:c r="A27" s="108" t="s">
        <x:v>337</x:v>
      </x:c>
      <x:c r="B27" s="109" t="s">
        <x:v>338</x:v>
      </x:c>
      <x:c r="C27" s="109" t="s">
        <x:v>104</x:v>
      </x:c>
      <x:c r="D27" s="106" t="s">
        <x:v>69</x:v>
      </x:c>
      <x:c r="E27" s="89" t="s">
        <x:v>230</x:v>
      </x:c>
      <x:c r="F27" s="107" t="s">
        <x:v>74</x:v>
      </x:c>
      <x:c r="G27" s="109" t="s">
        <x:v>2295</x:v>
      </x:c>
      <x:c r="H27" s="108" t="s">
        <x:v>2296</x:v>
      </x:c>
      <x:c r="I27" s="108" t="s">
        <x:v>2297</x:v>
      </x:c>
      <x:c r="J27" s="108" t="s">
        <x:v>2298</x:v>
      </x:c>
      <x:c r="K27" s="109" t="s">
        <x:v>1201</x:v>
      </x:c>
      <x:c r="L27" s="108" t="s">
        <x:v>329</x:v>
      </x:c>
      <x:c r="M27" s="109" t="s">
        <x:v>2192</x:v>
      </x:c>
      <x:c r="N27" s="108" t="s">
        <x:v>2299</x:v>
      </x:c>
    </x:row>
    <x:row r="28" ht="43.5" customHeight="1">
      <x:c r="A28" s="104" t="s">
        <x:v>341</x:v>
      </x:c>
      <x:c r="B28" s="105" t="s">
        <x:v>342</x:v>
      </x:c>
      <x:c r="C28" s="105" t="s">
        <x:v>104</x:v>
      </x:c>
      <x:c r="D28" s="106" t="s">
        <x:v>69</x:v>
      </x:c>
      <x:c r="E28" s="89" t="s">
        <x:v>230</x:v>
      </x:c>
      <x:c r="F28" s="107" t="s">
        <x:v>74</x:v>
      </x:c>
      <x:c r="G28" s="105" t="s">
        <x:v>2300</x:v>
      </x:c>
      <x:c r="H28" s="104" t="s">
        <x:v>2301</x:v>
      </x:c>
      <x:c r="I28" s="104" t="s">
        <x:v>2302</x:v>
      </x:c>
      <x:c r="J28" s="104" t="s">
        <x:v>2303</x:v>
      </x:c>
      <x:c r="K28" s="105" t="s">
        <x:v>1354</x:v>
      </x:c>
      <x:c r="L28" s="104" t="s">
        <x:v>329</x:v>
      </x:c>
      <x:c r="M28" s="105" t="s">
        <x:v>2192</x:v>
      </x:c>
      <x:c r="N28" s="104" t="s">
        <x:v>2304</x:v>
      </x:c>
    </x:row>
    <x:row r="29" ht="29.049999237060547" customHeight="1">
      <x:c r="A29" s="108" t="s">
        <x:v>346</x:v>
      </x:c>
      <x:c r="B29" s="109" t="s">
        <x:v>347</x:v>
      </x:c>
      <x:c r="C29" s="109" t="s">
        <x:v>104</x:v>
      </x:c>
      <x:c r="D29" s="106" t="s">
        <x:v>69</x:v>
      </x:c>
      <x:c r="E29" s="89" t="s">
        <x:v>230</x:v>
      </x:c>
      <x:c r="F29" s="107" t="s">
        <x:v>74</x:v>
      </x:c>
      <x:c r="G29" s="109" t="s">
        <x:v>2305</x:v>
      </x:c>
      <x:c r="H29" s="108" t="s">
        <x:v>2306</x:v>
      </x:c>
      <x:c r="I29" s="108" t="s">
        <x:v>2307</x:v>
      </x:c>
      <x:c r="J29" s="108" t="s">
        <x:v>2308</x:v>
      </x:c>
      <x:c r="K29" s="109" t="s">
        <x:v>1360</x:v>
      </x:c>
      <x:c r="L29" s="108" t="s">
        <x:v>329</x:v>
      </x:c>
      <x:c r="M29" s="109" t="s">
        <x:v>2192</x:v>
      </x:c>
      <x:c r="N29" s="108" t="s">
        <x:v>2309</x:v>
      </x:c>
    </x:row>
    <x:row r="30" ht="28" customHeight="1">
      <x:c r="A30" s="104" t="s">
        <x:v>351</x:v>
      </x:c>
      <x:c r="B30" s="105" t="s">
        <x:v>352</x:v>
      </x:c>
      <x:c r="C30" s="105" t="s">
        <x:v>104</x:v>
      </x:c>
      <x:c r="D30" s="106" t="s">
        <x:v>69</x:v>
      </x:c>
      <x:c r="E30" s="89" t="s">
        <x:v>230</x:v>
      </x:c>
      <x:c r="F30" s="111" t="s">
        <x:v>83</x:v>
      </x:c>
      <x:c r="G30" s="105" t="s">
        <x:v>2310</x:v>
      </x:c>
      <x:c r="H30" s="104" t="s">
        <x:v>2286</x:v>
      </x:c>
      <x:c r="I30" s="104" t="s">
        <x:v>2311</x:v>
      </x:c>
      <x:c r="J30" s="104" t="s">
        <x:v>2312</x:v>
      </x:c>
      <x:c r="K30" s="105" t="s">
        <x:v>1367</x:v>
      </x:c>
      <x:c r="L30" s="104" t="s">
        <x:v>329</x:v>
      </x:c>
      <x:c r="M30" s="105" t="s">
        <x:v>2192</x:v>
      </x:c>
      <x:c r="N30" s="104" t="s">
        <x:v>2313</x:v>
      </x:c>
    </x:row>
    <x:row r="31" ht="101.5" customHeight="1">
      <x:c r="A31" s="108" t="s">
        <x:v>354</x:v>
      </x:c>
      <x:c r="B31" s="108" t="s">
        <x:v>355</x:v>
      </x:c>
      <x:c r="C31" s="109" t="s">
        <x:v>104</x:v>
      </x:c>
      <x:c r="D31" s="106" t="s">
        <x:v>69</x:v>
      </x:c>
      <x:c r="E31" s="89" t="s">
        <x:v>230</x:v>
      </x:c>
      <x:c r="F31" s="107" t="s">
        <x:v>74</x:v>
      </x:c>
      <x:c r="G31" s="109" t="s">
        <x:v>2314</x:v>
      </x:c>
      <x:c r="H31" s="108" t="s">
        <x:v>2315</x:v>
      </x:c>
      <x:c r="I31" s="108" t="s">
        <x:v>2316</x:v>
      </x:c>
      <x:c r="J31" s="108" t="s">
        <x:v>2317</x:v>
      </x:c>
      <x:c r="K31" s="109" t="s">
        <x:v>1373</x:v>
      </x:c>
      <x:c r="L31" s="108" t="s">
        <x:v>357</x:v>
      </x:c>
      <x:c r="M31" s="109" t="s">
        <x:v>2192</x:v>
      </x:c>
      <x:c r="N31" s="108" t="s">
        <x:v>2318</x:v>
      </x:c>
    </x:row>
    <x:row r="32" ht="241.64999389648438" customHeight="1">
      <x:c r="A32" s="104" t="s">
        <x:v>360</x:v>
      </x:c>
      <x:c r="B32" s="104" t="s">
        <x:v>361</x:v>
      </x:c>
      <x:c r="C32" s="105" t="s">
        <x:v>104</x:v>
      </x:c>
      <x:c r="D32" s="110" t="s">
        <x:v>77</x:v>
      </x:c>
      <x:c r="E32" s="89" t="s">
        <x:v>230</x:v>
      </x:c>
      <x:c r="F32" s="107" t="s">
        <x:v>74</x:v>
      </x:c>
      <x:c r="G32" s="105" t="s">
        <x:v>2319</x:v>
      </x:c>
      <x:c r="H32" s="104" t="s">
        <x:v>2320</x:v>
      </x:c>
      <x:c r="I32" s="104" t="s">
        <x:v>2249</x:v>
      </x:c>
      <x:c r="J32" s="104" t="s">
        <x:v>680</x:v>
      </x:c>
      <x:c r="K32" s="105" t="s">
        <x:v>1379</x:v>
      </x:c>
      <x:c r="L32" s="104" t="s">
        <x:v>357</x:v>
      </x:c>
      <x:c r="M32" s="105" t="s">
        <x:v>2251</x:v>
      </x:c>
      <x:c r="N32" s="104" t="s">
        <x:v>2321</x:v>
      </x:c>
    </x:row>
    <x:row r="33" ht="228.4499969482422" customHeight="1">
      <x:c r="A33" s="108" t="s">
        <x:v>365</x:v>
      </x:c>
      <x:c r="B33" s="109" t="s">
        <x:v>366</x:v>
      </x:c>
      <x:c r="C33" s="109" t="s">
        <x:v>104</x:v>
      </x:c>
      <x:c r="D33" s="110" t="s">
        <x:v>77</x:v>
      </x:c>
      <x:c r="E33" s="89" t="s">
        <x:v>230</x:v>
      </x:c>
      <x:c r="F33" s="107" t="s">
        <x:v>74</x:v>
      </x:c>
      <x:c r="G33" s="109" t="s">
        <x:v>2319</x:v>
      </x:c>
      <x:c r="H33" s="108" t="s">
        <x:v>2320</x:v>
      </x:c>
      <x:c r="I33" s="108" t="s">
        <x:v>2249</x:v>
      </x:c>
      <x:c r="J33" s="108" t="s">
        <x:v>680</x:v>
      </x:c>
      <x:c r="K33" s="109" t="s">
        <x:v>1386</x:v>
      </x:c>
      <x:c r="L33" s="108" t="s">
        <x:v>357</x:v>
      </x:c>
      <x:c r="M33" s="109" t="s">
        <x:v>2251</x:v>
      </x:c>
      <x:c r="N33" s="108" t="s">
        <x:v>2322</x:v>
      </x:c>
    </x:row>
    <x:row r="34" ht="58" customHeight="1">
      <x:c r="A34" s="104" t="s">
        <x:v>369</x:v>
      </x:c>
      <x:c r="B34" s="105" t="s">
        <x:v>370</x:v>
      </x:c>
      <x:c r="C34" s="105" t="s">
        <x:v>104</x:v>
      </x:c>
      <x:c r="D34" s="106" t="s">
        <x:v>69</x:v>
      </x:c>
      <x:c r="E34" s="89" t="s">
        <x:v>230</x:v>
      </x:c>
      <x:c r="F34" s="107" t="s">
        <x:v>74</x:v>
      </x:c>
      <x:c r="G34" s="105" t="s">
        <x:v>2323</x:v>
      </x:c>
      <x:c r="H34" s="104" t="s">
        <x:v>2324</x:v>
      </x:c>
      <x:c r="I34" s="104" t="s">
        <x:v>2325</x:v>
      </x:c>
      <x:c r="J34" s="104" t="s">
        <x:v>2326</x:v>
      </x:c>
      <x:c r="K34" s="105" t="s">
        <x:v>1391</x:v>
      </x:c>
      <x:c r="L34" s="104" t="s">
        <x:v>357</x:v>
      </x:c>
      <x:c r="M34" s="105" t="s">
        <x:v>2192</x:v>
      </x:c>
      <x:c r="N34" s="104" t="s">
        <x:v>2327</x:v>
      </x:c>
    </x:row>
    <x:row r="35" ht="58" customHeight="1">
      <x:c r="A35" s="108" t="s">
        <x:v>373</x:v>
      </x:c>
      <x:c r="B35" s="109" t="s">
        <x:v>374</x:v>
      </x:c>
      <x:c r="C35" s="109" t="s">
        <x:v>104</x:v>
      </x:c>
      <x:c r="D35" s="106" t="s">
        <x:v>69</x:v>
      </x:c>
      <x:c r="E35" s="89" t="s">
        <x:v>230</x:v>
      </x:c>
      <x:c r="F35" s="107" t="s">
        <x:v>74</x:v>
      </x:c>
      <x:c r="G35" s="109" t="s">
        <x:v>2328</x:v>
      </x:c>
      <x:c r="H35" s="108" t="s">
        <x:v>2329</x:v>
      </x:c>
      <x:c r="I35" s="108" t="s">
        <x:v>2330</x:v>
      </x:c>
      <x:c r="J35" s="108" t="s">
        <x:v>2331</x:v>
      </x:c>
      <x:c r="K35" s="109" t="s">
        <x:v>1397</x:v>
      </x:c>
      <x:c r="L35" s="108" t="s">
        <x:v>357</x:v>
      </x:c>
      <x:c r="M35" s="109" t="s">
        <x:v>2192</x:v>
      </x:c>
      <x:c r="N35" s="108" t="s">
        <x:v>2332</x:v>
      </x:c>
    </x:row>
    <x:row r="36" ht="43.5" customHeight="1">
      <x:c r="A36" s="104" t="s">
        <x:v>377</x:v>
      </x:c>
      <x:c r="B36" s="105" t="s">
        <x:v>378</x:v>
      </x:c>
      <x:c r="C36" s="105" t="s">
        <x:v>104</x:v>
      </x:c>
      <x:c r="D36" s="106" t="s">
        <x:v>69</x:v>
      </x:c>
      <x:c r="E36" s="89" t="s">
        <x:v>230</x:v>
      </x:c>
      <x:c r="F36" s="107" t="s">
        <x:v>74</x:v>
      </x:c>
      <x:c r="G36" s="105" t="s">
        <x:v>2333</x:v>
      </x:c>
      <x:c r="H36" s="104" t="s">
        <x:v>2334</x:v>
      </x:c>
      <x:c r="I36" s="104" t="s">
        <x:v>2335</x:v>
      </x:c>
      <x:c r="J36" s="104" t="s">
        <x:v>2336</x:v>
      </x:c>
      <x:c r="K36" s="105" t="s">
        <x:v>1403</x:v>
      </x:c>
      <x:c r="L36" s="104" t="s">
        <x:v>380</x:v>
      </x:c>
      <x:c r="M36" s="105" t="s">
        <x:v>2192</x:v>
      </x:c>
      <x:c r="N36" s="104" t="s">
        <x:v>2337</x:v>
      </x:c>
    </x:row>
    <x:row r="37" ht="43.5" customHeight="1">
      <x:c r="A37" s="108" t="s">
        <x:v>383</x:v>
      </x:c>
      <x:c r="B37" s="109" t="s">
        <x:v>384</x:v>
      </x:c>
      <x:c r="C37" s="109" t="s">
        <x:v>104</x:v>
      </x:c>
      <x:c r="D37" s="106" t="s">
        <x:v>69</x:v>
      </x:c>
      <x:c r="E37" s="89" t="s">
        <x:v>230</x:v>
      </x:c>
      <x:c r="F37" s="107" t="s">
        <x:v>74</x:v>
      </x:c>
      <x:c r="G37" s="109" t="s">
        <x:v>2338</x:v>
      </x:c>
      <x:c r="H37" s="108" t="s">
        <x:v>2339</x:v>
      </x:c>
      <x:c r="I37" s="108" t="s">
        <x:v>2340</x:v>
      </x:c>
      <x:c r="J37" s="108" t="s">
        <x:v>2341</x:v>
      </x:c>
      <x:c r="K37" s="109" t="s">
        <x:v>1409</x:v>
      </x:c>
      <x:c r="L37" s="108" t="s">
        <x:v>380</x:v>
      </x:c>
      <x:c r="M37" s="109" t="s">
        <x:v>2192</x:v>
      </x:c>
      <x:c r="N37" s="108" t="s">
        <x:v>2342</x:v>
      </x:c>
    </x:row>
    <x:row r="38" ht="43.5" customHeight="1">
      <x:c r="A38" s="104" t="s">
        <x:v>388</x:v>
      </x:c>
      <x:c r="B38" s="105" t="s">
        <x:v>389</x:v>
      </x:c>
      <x:c r="C38" s="105" t="s">
        <x:v>104</x:v>
      </x:c>
      <x:c r="D38" s="106" t="s">
        <x:v>69</x:v>
      </x:c>
      <x:c r="E38" s="89" t="s">
        <x:v>230</x:v>
      </x:c>
      <x:c r="F38" s="107" t="s">
        <x:v>74</x:v>
      </x:c>
      <x:c r="G38" s="105" t="s">
        <x:v>2343</x:v>
      </x:c>
      <x:c r="H38" s="104" t="s">
        <x:v>2334</x:v>
      </x:c>
      <x:c r="I38" s="104" t="s">
        <x:v>2344</x:v>
      </x:c>
      <x:c r="J38" s="104" t="s">
        <x:v>2345</x:v>
      </x:c>
      <x:c r="K38" s="105" t="s">
        <x:v>1415</x:v>
      </x:c>
      <x:c r="L38" s="104" t="s">
        <x:v>380</x:v>
      </x:c>
      <x:c r="M38" s="105" t="s">
        <x:v>2192</x:v>
      </x:c>
      <x:c r="N38" s="104" t="s">
        <x:v>2346</x:v>
      </x:c>
    </x:row>
    <x:row r="39" ht="43.5" customHeight="1">
      <x:c r="A39" s="108" t="s">
        <x:v>392</x:v>
      </x:c>
      <x:c r="B39" s="109" t="s">
        <x:v>393</x:v>
      </x:c>
      <x:c r="C39" s="109" t="s">
        <x:v>104</x:v>
      </x:c>
      <x:c r="D39" s="106" t="s">
        <x:v>69</x:v>
      </x:c>
      <x:c r="E39" s="89" t="s">
        <x:v>230</x:v>
      </x:c>
      <x:c r="F39" s="107" t="s">
        <x:v>74</x:v>
      </x:c>
      <x:c r="G39" s="109" t="s">
        <x:v>2347</x:v>
      </x:c>
      <x:c r="H39" s="108" t="s">
        <x:v>2334</x:v>
      </x:c>
      <x:c r="I39" s="108" t="s">
        <x:v>2348</x:v>
      </x:c>
      <x:c r="J39" s="108" t="s">
        <x:v>2349</x:v>
      </x:c>
      <x:c r="K39" s="109" t="s">
        <x:v>1421</x:v>
      </x:c>
      <x:c r="L39" s="108" t="s">
        <x:v>380</x:v>
      </x:c>
      <x:c r="M39" s="109" t="s">
        <x:v>2192</x:v>
      </x:c>
      <x:c r="N39" s="108" t="s">
        <x:v>2350</x:v>
      </x:c>
    </x:row>
    <x:row r="40" ht="122.80000305175781" customHeight="1">
      <x:c r="A40" s="104" t="s">
        <x:v>396</x:v>
      </x:c>
      <x:c r="B40" s="105" t="s">
        <x:v>397</x:v>
      </x:c>
      <x:c r="C40" s="105" t="s">
        <x:v>104</x:v>
      </x:c>
      <x:c r="D40" s="110" t="s">
        <x:v>77</x:v>
      </x:c>
      <x:c r="E40" s="89" t="s">
        <x:v>230</x:v>
      </x:c>
      <x:c r="F40" s="107" t="s">
        <x:v>74</x:v>
      </x:c>
      <x:c r="G40" s="105" t="s">
        <x:v>2351</x:v>
      </x:c>
      <x:c r="H40" s="104" t="s">
        <x:v>2352</x:v>
      </x:c>
      <x:c r="I40" s="104" t="s">
        <x:v>2353</x:v>
      </x:c>
      <x:c r="J40" s="104" t="s">
        <x:v>2354</x:v>
      </x:c>
      <x:c r="K40" s="105" t="s">
        <x:v>1427</x:v>
      </x:c>
      <x:c r="L40" s="104" t="s">
        <x:v>400</x:v>
      </x:c>
      <x:c r="M40" s="105" t="s">
        <x:v>2201</x:v>
      </x:c>
      <x:c r="N40" s="104" t="s">
        <x:v>2355</x:v>
      </x:c>
    </x:row>
    <x:row r="41" ht="72.55000305175781" customHeight="1">
      <x:c r="A41" s="108" t="s">
        <x:v>401</x:v>
      </x:c>
      <x:c r="B41" s="109" t="s">
        <x:v>402</x:v>
      </x:c>
      <x:c r="C41" s="109" t="s">
        <x:v>104</x:v>
      </x:c>
      <x:c r="D41" s="106" t="s">
        <x:v>69</x:v>
      </x:c>
      <x:c r="E41" s="89" t="s">
        <x:v>230</x:v>
      </x:c>
      <x:c r="F41" s="107" t="s">
        <x:v>74</x:v>
      </x:c>
      <x:c r="G41" s="109" t="s">
        <x:v>2356</x:v>
      </x:c>
      <x:c r="H41" s="108" t="s">
        <x:v>2357</x:v>
      </x:c>
      <x:c r="I41" s="108" t="s">
        <x:v>2358</x:v>
      </x:c>
      <x:c r="J41" s="108" t="s">
        <x:v>2359</x:v>
      </x:c>
      <x:c r="K41" s="109" t="s">
        <x:v>1433</x:v>
      </x:c>
      <x:c r="L41" s="108" t="s">
        <x:v>404</x:v>
      </x:c>
      <x:c r="M41" s="109" t="s">
        <x:v>2192</x:v>
      </x:c>
      <x:c r="N41" s="108" t="s">
        <x:v>2360</x:v>
      </x:c>
    </x:row>
    <x:row r="42" ht="43.5" customHeight="1">
      <x:c r="A42" s="104" t="s">
        <x:v>407</x:v>
      </x:c>
      <x:c r="B42" s="105" t="s">
        <x:v>408</x:v>
      </x:c>
      <x:c r="C42" s="105" t="s">
        <x:v>104</x:v>
      </x:c>
      <x:c r="D42" s="106" t="s">
        <x:v>69</x:v>
      </x:c>
      <x:c r="E42" s="89" t="s">
        <x:v>230</x:v>
      </x:c>
      <x:c r="F42" s="107" t="s">
        <x:v>74</x:v>
      </x:c>
      <x:c r="G42" s="105" t="s">
        <x:v>2361</x:v>
      </x:c>
      <x:c r="H42" s="104" t="s">
        <x:v>2362</x:v>
      </x:c>
      <x:c r="I42" s="104" t="s">
        <x:v>2363</x:v>
      </x:c>
      <x:c r="J42" s="104" t="s">
        <x:v>2364</x:v>
      </x:c>
      <x:c r="K42" s="105" t="s">
        <x:v>1439</x:v>
      </x:c>
      <x:c r="L42" s="104" t="s">
        <x:v>404</x:v>
      </x:c>
      <x:c r="M42" s="105" t="s">
        <x:v>2192</x:v>
      </x:c>
      <x:c r="N42" s="104" t="s">
        <x:v>2365</x:v>
      </x:c>
    </x:row>
    <x:row r="43" ht="58" customHeight="1">
      <x:c r="A43" s="108" t="s">
        <x:v>412</x:v>
      </x:c>
      <x:c r="B43" s="109" t="s">
        <x:v>413</x:v>
      </x:c>
      <x:c r="C43" s="109" t="s">
        <x:v>104</x:v>
      </x:c>
      <x:c r="D43" s="106" t="s">
        <x:v>69</x:v>
      </x:c>
      <x:c r="E43" s="89" t="s">
        <x:v>230</x:v>
      </x:c>
      <x:c r="F43" s="107" t="s">
        <x:v>74</x:v>
      </x:c>
      <x:c r="G43" s="109" t="s">
        <x:v>2366</x:v>
      </x:c>
      <x:c r="H43" s="108" t="s">
        <x:v>2367</x:v>
      </x:c>
      <x:c r="I43" s="108" t="s">
        <x:v>2368</x:v>
      </x:c>
      <x:c r="J43" s="108" t="s">
        <x:v>2369</x:v>
      </x:c>
      <x:c r="K43" s="109" t="s">
        <x:v>1446</x:v>
      </x:c>
      <x:c r="L43" s="108" t="s">
        <x:v>415</x:v>
      </x:c>
      <x:c r="M43" s="109" t="s">
        <x:v>2192</x:v>
      </x:c>
      <x:c r="N43" s="108" t="s">
        <x:v>2370</x:v>
      </x:c>
    </x:row>
    <x:row r="44" ht="43.5" customHeight="1">
      <x:c r="A44" s="104" t="s">
        <x:v>418</x:v>
      </x:c>
      <x:c r="B44" s="105" t="s">
        <x:v>419</x:v>
      </x:c>
      <x:c r="C44" s="105" t="s">
        <x:v>104</x:v>
      </x:c>
      <x:c r="D44" s="106" t="s">
        <x:v>69</x:v>
      </x:c>
      <x:c r="E44" s="89" t="s">
        <x:v>230</x:v>
      </x:c>
      <x:c r="F44" s="107" t="s">
        <x:v>74</x:v>
      </x:c>
      <x:c r="G44" s="105" t="s">
        <x:v>2371</x:v>
      </x:c>
      <x:c r="H44" s="104" t="s">
        <x:v>2367</x:v>
      </x:c>
      <x:c r="I44" s="104" t="s">
        <x:v>2372</x:v>
      </x:c>
      <x:c r="J44" s="104" t="s">
        <x:v>2373</x:v>
      </x:c>
      <x:c r="K44" s="105" t="s">
        <x:v>1453</x:v>
      </x:c>
      <x:c r="L44" s="104" t="s">
        <x:v>415</x:v>
      </x:c>
      <x:c r="M44" s="105" t="s">
        <x:v>2192</x:v>
      </x:c>
      <x:c r="N44" s="104" t="s">
        <x:v>2374</x:v>
      </x:c>
    </x:row>
    <x:row r="45" ht="29.049999237060547" customHeight="1">
      <x:c r="A45" s="108" t="s">
        <x:v>422</x:v>
      </x:c>
      <x:c r="B45" s="109" t="s">
        <x:v>423</x:v>
      </x:c>
      <x:c r="C45" s="109" t="s">
        <x:v>104</x:v>
      </x:c>
      <x:c r="D45" s="106" t="s">
        <x:v>69</x:v>
      </x:c>
      <x:c r="E45" s="89" t="s">
        <x:v>230</x:v>
      </x:c>
      <x:c r="F45" s="111" t="s">
        <x:v>83</x:v>
      </x:c>
      <x:c r="G45" s="109" t="s">
        <x:v>2375</x:v>
      </x:c>
      <x:c r="H45" s="108" t="s">
        <x:v>2376</x:v>
      </x:c>
      <x:c r="I45" s="108" t="s">
        <x:v>2377</x:v>
      </x:c>
      <x:c r="J45" s="108" t="s">
        <x:v>2378</x:v>
      </x:c>
      <x:c r="K45" s="109" t="s">
        <x:v>1459</x:v>
      </x:c>
      <x:c r="L45" s="108" t="s">
        <x:v>415</x:v>
      </x:c>
      <x:c r="M45" s="109" t="s">
        <x:v>2192</x:v>
      </x:c>
      <x:c r="N45" s="108" t="s">
        <x:v>2379</x:v>
      </x:c>
    </x:row>
    <x:row r="46" ht="29.049999237060547" customHeight="1">
      <x:c r="A46" s="104" t="s">
        <x:v>426</x:v>
      </x:c>
      <x:c r="B46" s="105" t="s">
        <x:v>427</x:v>
      </x:c>
      <x:c r="C46" s="105" t="s">
        <x:v>104</x:v>
      </x:c>
      <x:c r="D46" s="106" t="s">
        <x:v>69</x:v>
      </x:c>
      <x:c r="E46" s="89" t="s">
        <x:v>230</x:v>
      </x:c>
      <x:c r="F46" s="111" t="s">
        <x:v>83</x:v>
      </x:c>
      <x:c r="G46" s="105" t="s">
        <x:v>2380</x:v>
      </x:c>
      <x:c r="H46" s="104" t="s">
        <x:v>2367</x:v>
      </x:c>
      <x:c r="I46" s="104" t="s">
        <x:v>2381</x:v>
      </x:c>
      <x:c r="J46" s="104" t="s">
        <x:v>2382</x:v>
      </x:c>
      <x:c r="K46" s="105" t="s">
        <x:v>1201</x:v>
      </x:c>
      <x:c r="L46" s="104" t="s">
        <x:v>415</x:v>
      </x:c>
      <x:c r="M46" s="105" t="s">
        <x:v>2192</x:v>
      </x:c>
      <x:c r="N46" s="104" t="s">
        <x:v>2383</x:v>
      </x:c>
    </x:row>
    <x:row r="47" ht="43.5" customHeight="1">
      <x:c r="A47" s="108" t="s">
        <x:v>430</x:v>
      </x:c>
      <x:c r="B47" s="109" t="s">
        <x:v>431</x:v>
      </x:c>
      <x:c r="C47" s="109" t="s">
        <x:v>104</x:v>
      </x:c>
      <x:c r="D47" s="106" t="s">
        <x:v>69</x:v>
      </x:c>
      <x:c r="E47" s="89" t="s">
        <x:v>230</x:v>
      </x:c>
      <x:c r="F47" s="107" t="s">
        <x:v>74</x:v>
      </x:c>
      <x:c r="G47" s="109" t="s">
        <x:v>2384</x:v>
      </x:c>
      <x:c r="H47" s="108" t="s">
        <x:v>2385</x:v>
      </x:c>
      <x:c r="I47" s="108" t="s">
        <x:v>2386</x:v>
      </x:c>
      <x:c r="J47" s="108" t="s">
        <x:v>2387</x:v>
      </x:c>
      <x:c r="K47" s="109" t="s">
        <x:v>1469</x:v>
      </x:c>
      <x:c r="L47" s="108" t="s">
        <x:v>433</x:v>
      </x:c>
      <x:c r="M47" s="109" t="s">
        <x:v>2192</x:v>
      </x:c>
      <x:c r="N47" s="108" t="s">
        <x:v>2388</x:v>
      </x:c>
    </x:row>
    <x:row r="48" ht="58" customHeight="1">
      <x:c r="A48" s="104" t="s">
        <x:v>435</x:v>
      </x:c>
      <x:c r="B48" s="105" t="s">
        <x:v>436</x:v>
      </x:c>
      <x:c r="C48" s="105" t="s">
        <x:v>104</x:v>
      </x:c>
      <x:c r="D48" s="106" t="s">
        <x:v>69</x:v>
      </x:c>
      <x:c r="E48" s="89" t="s">
        <x:v>230</x:v>
      </x:c>
      <x:c r="F48" s="107" t="s">
        <x:v>74</x:v>
      </x:c>
      <x:c r="G48" s="105" t="s">
        <x:v>2389</x:v>
      </x:c>
      <x:c r="H48" s="104" t="s">
        <x:v>2390</x:v>
      </x:c>
      <x:c r="I48" s="104" t="s">
        <x:v>2391</x:v>
      </x:c>
      <x:c r="J48" s="104" t="s">
        <x:v>2392</x:v>
      </x:c>
      <x:c r="K48" s="105" t="s">
        <x:v>1476</x:v>
      </x:c>
      <x:c r="L48" s="104" t="s">
        <x:v>433</x:v>
      </x:c>
      <x:c r="M48" s="105" t="s">
        <x:v>2192</x:v>
      </x:c>
      <x:c r="N48" s="104" t="s">
        <x:v>2393</x:v>
      </x:c>
    </x:row>
    <x:row r="49" ht="175.64999389648438" customHeight="1">
      <x:c r="A49" s="108" t="s">
        <x:v>440</x:v>
      </x:c>
      <x:c r="B49" s="109" t="s">
        <x:v>441</x:v>
      </x:c>
      <x:c r="C49" s="109" t="s">
        <x:v>104</x:v>
      </x:c>
      <x:c r="D49" s="110" t="s">
        <x:v>77</x:v>
      </x:c>
      <x:c r="E49" s="89" t="s">
        <x:v>230</x:v>
      </x:c>
      <x:c r="F49" s="107" t="s">
        <x:v>74</x:v>
      </x:c>
      <x:c r="G49" s="109" t="s">
        <x:v>2394</x:v>
      </x:c>
      <x:c r="H49" s="108" t="s">
        <x:v>680</x:v>
      </x:c>
      <x:c r="I49" s="108" t="s">
        <x:v>2395</x:v>
      </x:c>
      <x:c r="J49" s="108" t="s">
        <x:v>680</x:v>
      </x:c>
      <x:c r="K49" s="109" t="s">
        <x:v>1483</x:v>
      </x:c>
      <x:c r="L49" s="108" t="s">
        <x:v>443</x:v>
      </x:c>
      <x:c r="M49" s="109" t="s">
        <x:v>2201</x:v>
      </x:c>
      <x:c r="N49" s="108" t="s">
        <x:v>2396</x:v>
      </x:c>
    </x:row>
    <x:row r="50" ht="122.80000305175781" customHeight="1">
      <x:c r="A50" s="104" t="s">
        <x:v>446</x:v>
      </x:c>
      <x:c r="B50" s="105" t="s">
        <x:v>447</x:v>
      </x:c>
      <x:c r="C50" s="105" t="s">
        <x:v>104</x:v>
      </x:c>
      <x:c r="D50" s="110" t="s">
        <x:v>77</x:v>
      </x:c>
      <x:c r="E50" s="89" t="s">
        <x:v>230</x:v>
      </x:c>
      <x:c r="F50" s="107" t="s">
        <x:v>74</x:v>
      </x:c>
      <x:c r="G50" s="105" t="s">
        <x:v>2394</x:v>
      </x:c>
      <x:c r="H50" s="104" t="s">
        <x:v>680</x:v>
      </x:c>
      <x:c r="I50" s="104" t="s">
        <x:v>2395</x:v>
      </x:c>
      <x:c r="J50" s="104" t="s">
        <x:v>680</x:v>
      </x:c>
      <x:c r="K50" s="105" t="s">
        <x:v>1489</x:v>
      </x:c>
      <x:c r="L50" s="104" t="s">
        <x:v>443</x:v>
      </x:c>
      <x:c r="M50" s="105" t="s">
        <x:v>2201</x:v>
      </x:c>
      <x:c r="N50" s="104" t="s">
        <x:v>2397</x:v>
      </x:c>
    </x:row>
    <x:row r="51" ht="122.80000305175781" customHeight="1">
      <x:c r="A51" s="108" t="s">
        <x:v>451</x:v>
      </x:c>
      <x:c r="B51" s="109" t="s">
        <x:v>452</x:v>
      </x:c>
      <x:c r="C51" s="109" t="s">
        <x:v>104</x:v>
      </x:c>
      <x:c r="D51" s="110" t="s">
        <x:v>77</x:v>
      </x:c>
      <x:c r="E51" s="95" t="s">
        <x:v>267</x:v>
      </x:c>
      <x:c r="F51" s="112" t="s">
        <x:v>92</x:v>
      </x:c>
      <x:c r="G51" s="109" t="s">
        <x:v>2398</x:v>
      </x:c>
      <x:c r="H51" s="108" t="s">
        <x:v>680</x:v>
      </x:c>
      <x:c r="I51" s="108" t="s">
        <x:v>2399</x:v>
      </x:c>
      <x:c r="J51" s="108" t="s">
        <x:v>680</x:v>
      </x:c>
      <x:c r="K51" s="109" t="s">
        <x:v>1495</x:v>
      </x:c>
      <x:c r="L51" s="108" t="s">
        <x:v>443</x:v>
      </x:c>
      <x:c r="M51" s="109" t="s">
        <x:v>2230</x:v>
      </x:c>
      <x:c r="N51" s="108" t="s">
        <x:v>2400</x:v>
      </x:c>
    </x:row>
    <x:row r="52" ht="43.5" customHeight="1">
      <x:c r="A52" s="104" t="s">
        <x:v>454</x:v>
      </x:c>
      <x:c r="B52" s="105" t="s">
        <x:v>455</x:v>
      </x:c>
      <x:c r="C52" s="105" t="s">
        <x:v>104</x:v>
      </x:c>
      <x:c r="D52" s="106" t="s">
        <x:v>69</x:v>
      </x:c>
      <x:c r="E52" s="89" t="s">
        <x:v>230</x:v>
      </x:c>
      <x:c r="F52" s="111" t="s">
        <x:v>83</x:v>
      </x:c>
      <x:c r="G52" s="105" t="s">
        <x:v>2401</x:v>
      </x:c>
      <x:c r="H52" s="104" t="s">
        <x:v>2402</x:v>
      </x:c>
      <x:c r="I52" s="104" t="s">
        <x:v>2403</x:v>
      </x:c>
      <x:c r="J52" s="104" t="s">
        <x:v>2404</x:v>
      </x:c>
      <x:c r="K52" s="105" t="s">
        <x:v>1201</x:v>
      </x:c>
      <x:c r="L52" s="104" t="s">
        <x:v>458</x:v>
      </x:c>
      <x:c r="M52" s="105" t="s">
        <x:v>2192</x:v>
      </x:c>
      <x:c r="N52" s="104" t="s">
        <x:v>2405</x:v>
      </x:c>
    </x:row>
    <x:row r="53" ht="162" customHeight="1">
      <x:c r="A53" s="108" t="s">
        <x:v>460</x:v>
      </x:c>
      <x:c r="B53" s="109" t="s">
        <x:v>461</x:v>
      </x:c>
      <x:c r="C53" s="109" t="s">
        <x:v>104</x:v>
      </x:c>
      <x:c r="D53" s="110" t="s">
        <x:v>77</x:v>
      </x:c>
      <x:c r="E53" s="95" t="s">
        <x:v>267</x:v>
      </x:c>
      <x:c r="F53" s="111" t="s">
        <x:v>83</x:v>
      </x:c>
      <x:c r="G53" s="109" t="s">
        <x:v>2406</x:v>
      </x:c>
      <x:c r="H53" s="108" t="s">
        <x:v>680</x:v>
      </x:c>
      <x:c r="I53" s="108" t="s">
        <x:v>2407</x:v>
      </x:c>
      <x:c r="J53" s="108" t="s">
        <x:v>680</x:v>
      </x:c>
      <x:c r="K53" s="109" t="s">
        <x:v>1201</x:v>
      </x:c>
      <x:c r="L53" s="108" t="s">
        <x:v>458</x:v>
      </x:c>
      <x:c r="M53" s="109" t="s">
        <x:v>2230</x:v>
      </x:c>
      <x:c r="N53" s="108" t="s">
        <x:v>2408</x:v>
      </x:c>
    </x:row>
    <x:row r="54" ht="162.4499969482422" customHeight="1">
      <x:c r="A54" s="104" t="s">
        <x:v>464</x:v>
      </x:c>
      <x:c r="B54" s="105" t="str">
        <x:v>대사 결과 Excel 보고서 출력</x:v>
      </x:c>
      <x:c r="C54" s="105" t="s">
        <x:v>104</x:v>
      </x:c>
      <x:c r="D54" s="110" t="s">
        <x:v>77</x:v>
      </x:c>
      <x:c r="E54" s="138" t="str">
        <x:v>후순위</x:v>
      </x:c>
      <x:c r="F54" s="107" t="str">
        <x:v>M</x:v>
      </x:c>
      <x:c r="G54" s="105" t="str">
        <x:v>화면정의서 v3.0 §5 RECO·§6-4 · 인터페이스 §5-2A·§11-3·§12-3</x:v>
      </x:c>
      <x:c r="H54" s="104" t="str">
        <x:v>미구현 범위: 대사 조회 재사용·xlsx 생성</x:v>
      </x:c>
      <x:c r="I54" s="104" t="str">
        <x:v>FGC-UI-RECO-W01/W02 / 대사 Excel 다운로드 경로 설계 필요 (구 RPT-W01 통합)</x:v>
      </x:c>
      <x:c r="J54" s="104" t="str">
        <x:v>신규 인수조건 기반 테스트 작성 필요</x:v>
      </x:c>
      <x:c r="K54" s="105" t="str">
        <x:v>대사 Excel 보고서정의서/출력샘플</x:v>
      </x:c>
      <x:c r="L54" s="104" t="s">
        <x:v>458</x:v>
      </x:c>
      <x:c r="M54" s="105" t="str">
        <x:v>후순위(2차 포함)</x:v>
      </x:c>
      <x:c r="N54" s="104" t="str">
        <x:v>v3.0 (2026-10-27, 현준 회의 반영): 논의후 진행→후순위(M 유지). 정산·대사 보고서에서 대사 결과만 출력하도록 축소하고 대사 화면에 통합한다. 일반 정산/PDF 출력 제외.
기존 구현·테스트 완료를 의미하지 않는다. 이전 기능 정의와 추적은 Z1 개정이력 및 원본에서 보존한다.</x:v>
      </x:c>
    </x:row>
    <x:row r="55" ht="109.6500015258789" customHeight="1">
      <x:c r="A55" s="108" t="s">
        <x:v>465</x:v>
      </x:c>
      <x:c r="B55" s="109" t="s">
        <x:v>466</x:v>
      </x:c>
      <x:c r="C55" s="109" t="s">
        <x:v>104</x:v>
      </x:c>
      <x:c r="D55" s="110" t="s">
        <x:v>77</x:v>
      </x:c>
      <x:c r="E55" s="139" t="str">
        <x:v>진행</x:v>
      </x:c>
      <x:c r="F55" s="111" t="s">
        <x:v>83</x:v>
      </x:c>
      <x:c r="G55" s="109" t="str">
        <x:v>화면정의서 v3.0 §6-1 RPT-W02 · 인터페이스정의서 v3.0</x:v>
      </x:c>
      <x:c r="H55" s="108" t="s">
        <x:v>680</x:v>
      </x:c>
      <x:c r="I55" s="108" t="str">
        <x:v>FGC-UI-RPT-W02 / 설계사 명세 조회 경로 예약(§11-3·12-3)</x:v>
      </x:c>
      <x:c r="J55" s="108" t="str">
        <x:v>명세 인수조건 기반 검증 예정. 진행 여부는 구현/테스트 완료를 뜻하지 않음.</x:v>
      </x:c>
      <x:c r="K55" s="109" t="s">
        <x:v>1511</x:v>
      </x:c>
      <x:c r="L55" s="108" t="s">
        <x:v>458</x:v>
      </x:c>
      <x:c r="M55" s="109" t="str">
        <x:v>미착수(2차·진행 범위)</x:v>
      </x:c>
      <x:c r="N55" s="108" t="str">
        <x:v>v3.0 (2026-10-27, 현준 최종 회의 반영): 논의후 진행→진행. 본인 수수료 명세와085 본인 범위 유지.</x:v>
      </x:c>
    </x:row>
    <x:row r="56" ht="58" customHeight="1">
      <x:c r="A56" s="104" t="s">
        <x:v>468</x:v>
      </x:c>
      <x:c r="B56" s="105" t="s">
        <x:v>469</x:v>
      </x:c>
      <x:c r="C56" s="105" t="s">
        <x:v>104</x:v>
      </x:c>
      <x:c r="D56" s="106" t="s">
        <x:v>69</x:v>
      </x:c>
      <x:c r="E56" s="89" t="s">
        <x:v>230</x:v>
      </x:c>
      <x:c r="F56" s="107" t="s">
        <x:v>74</x:v>
      </x:c>
      <x:c r="G56" s="105" t="s">
        <x:v>2409</x:v>
      </x:c>
      <x:c r="H56" s="104" t="s">
        <x:v>2410</x:v>
      </x:c>
      <x:c r="I56" s="104" t="s">
        <x:v>2411</x:v>
      </x:c>
      <x:c r="J56" s="104" t="s">
        <x:v>2412</x:v>
      </x:c>
      <x:c r="K56" s="105" t="s">
        <x:v>1516</x:v>
      </x:c>
      <x:c r="L56" s="104" t="s">
        <x:v>472</x:v>
      </x:c>
      <x:c r="M56" s="105" t="s">
        <x:v>2192</x:v>
      </x:c>
      <x:c r="N56" s="104" t="s">
        <x:v>2413</x:v>
      </x:c>
    </x:row>
    <x:row r="57" ht="188.8000030517578" customHeight="1">
      <x:c r="A57" s="108" t="s">
        <x:v>475</x:v>
      </x:c>
      <x:c r="B57" s="109" t="s">
        <x:v>476</x:v>
      </x:c>
      <x:c r="C57" s="109" t="s">
        <x:v>104</x:v>
      </x:c>
      <x:c r="D57" s="110" t="s">
        <x:v>77</x:v>
      </x:c>
      <x:c r="E57" s="93" t="s">
        <x:v>241</x:v>
      </x:c>
      <x:c r="F57" s="107" t="s">
        <x:v>74</x:v>
      </x:c>
      <x:c r="G57" s="109" t="s">
        <x:v>2414</x:v>
      </x:c>
      <x:c r="H57" s="108" t="s">
        <x:v>680</x:v>
      </x:c>
      <x:c r="I57" s="108" t="s">
        <x:v>2415</x:v>
      </x:c>
      <x:c r="J57" s="108" t="s">
        <x:v>680</x:v>
      </x:c>
      <x:c r="K57" s="109" t="s">
        <x:v>1522</x:v>
      </x:c>
      <x:c r="L57" s="108" t="s">
        <x:v>478</x:v>
      </x:c>
      <x:c r="M57" s="109" t="s">
        <x:v>2201</x:v>
      </x:c>
      <x:c r="N57" s="108" t="s">
        <x:v>2416</x:v>
      </x:c>
    </x:row>
    <x:row r="58" ht="14.5" customHeight="1">
      <x:c r="A58" s="104" t="s">
        <x:v>481</x:v>
      </x:c>
      <x:c r="B58" s="105" t="s">
        <x:v>482</x:v>
      </x:c>
      <x:c r="C58" s="105" t="s">
        <x:v>108</x:v>
      </x:c>
      <x:c r="D58" s="113" t="s">
        <x:v>86</x:v>
      </x:c>
      <x:c r="E58" s="114"/>
      <x:c r="F58" s="107" t="s">
        <x:v>74</x:v>
      </x:c>
      <x:c r="G58" s="105" t="s">
        <x:v>2417</x:v>
      </x:c>
      <x:c r="H58" s="104" t="s">
        <x:v>2418</x:v>
      </x:c>
      <x:c r="I58" s="104" t="s">
        <x:v>2419</x:v>
      </x:c>
      <x:c r="J58" s="104" t="s">
        <x:v>2420</x:v>
      </x:c>
      <x:c r="K58" s="105" t="s">
        <x:v>1638</x:v>
      </x:c>
      <x:c r="L58" s="104" t="s">
        <x:v>484</x:v>
      </x:c>
      <x:c r="M58" s="105" t="s">
        <x:v>2421</x:v>
      </x:c>
      <x:c r="N58" s="104" t="s">
        <x:v>2422</x:v>
      </x:c>
    </x:row>
    <x:row r="59" ht="14.5" customHeight="1">
      <x:c r="A59" s="108" t="s">
        <x:v>485</x:v>
      </x:c>
      <x:c r="B59" s="109" t="s">
        <x:v>486</x:v>
      </x:c>
      <x:c r="C59" s="109" t="s">
        <x:v>108</x:v>
      </x:c>
      <x:c r="D59" s="110" t="s">
        <x:v>77</x:v>
      </x:c>
      <x:c r="E59" s="115"/>
      <x:c r="F59" s="107" t="s">
        <x:v>74</x:v>
      </x:c>
      <x:c r="G59" s="109" t="s">
        <x:v>2417</x:v>
      </x:c>
      <x:c r="H59" s="108" t="s">
        <x:v>680</x:v>
      </x:c>
      <x:c r="I59" s="108" t="s">
        <x:v>2255</x:v>
      </x:c>
      <x:c r="J59" s="108" t="s">
        <x:v>680</x:v>
      </x:c>
      <x:c r="K59" s="109" t="s">
        <x:v>1644</x:v>
      </x:c>
      <x:c r="L59" s="108" t="s">
        <x:v>484</x:v>
      </x:c>
      <x:c r="M59" s="109" t="s">
        <x:v>2201</x:v>
      </x:c>
      <x:c r="N59" s="108" t="s">
        <x:v>2423</x:v>
      </x:c>
    </x:row>
    <x:row r="60" ht="14.5" customHeight="1">
      <x:c r="A60" s="104" t="s">
        <x:v>488</x:v>
      </x:c>
      <x:c r="B60" s="105" t="s">
        <x:v>489</x:v>
      </x:c>
      <x:c r="C60" s="105" t="s">
        <x:v>108</x:v>
      </x:c>
      <x:c r="D60" s="110" t="s">
        <x:v>77</x:v>
      </x:c>
      <x:c r="E60" s="114"/>
      <x:c r="F60" s="111" t="s">
        <x:v>83</x:v>
      </x:c>
      <x:c r="G60" s="105" t="s">
        <x:v>2417</x:v>
      </x:c>
      <x:c r="H60" s="104" t="s">
        <x:v>2424</x:v>
      </x:c>
      <x:c r="I60" s="104" t="s">
        <x:v>2403</x:v>
      </x:c>
      <x:c r="J60" s="104" t="s">
        <x:v>2425</x:v>
      </x:c>
      <x:c r="K60" s="105" t="s">
        <x:v>1650</x:v>
      </x:c>
      <x:c r="L60" s="104" t="s">
        <x:v>484</x:v>
      </x:c>
      <x:c r="M60" s="105" t="s">
        <x:v>2251</x:v>
      </x:c>
      <x:c r="N60" s="104" t="s">
        <x:v>2426</x:v>
      </x:c>
    </x:row>
    <x:row r="61" ht="14.5" customHeight="1">
      <x:c r="A61" s="108" t="s">
        <x:v>491</x:v>
      </x:c>
      <x:c r="B61" s="109" t="s">
        <x:v>492</x:v>
      </x:c>
      <x:c r="C61" s="109" t="s">
        <x:v>108</x:v>
      </x:c>
      <x:c r="D61" s="110" t="s">
        <x:v>77</x:v>
      </x:c>
      <x:c r="E61" s="115"/>
      <x:c r="F61" s="111" t="s">
        <x:v>83</x:v>
      </x:c>
      <x:c r="G61" s="109" t="s">
        <x:v>2417</x:v>
      </x:c>
      <x:c r="H61" s="108" t="s">
        <x:v>680</x:v>
      </x:c>
      <x:c r="I61" s="108" t="s">
        <x:v>2255</x:v>
      </x:c>
      <x:c r="J61" s="108" t="s">
        <x:v>680</x:v>
      </x:c>
      <x:c r="K61" s="109" t="s">
        <x:v>1656</x:v>
      </x:c>
      <x:c r="L61" s="108" t="s">
        <x:v>484</x:v>
      </x:c>
      <x:c r="M61" s="109" t="s">
        <x:v>2201</x:v>
      </x:c>
      <x:c r="N61" s="108" t="s">
        <x:v>2427</x:v>
      </x:c>
    </x:row>
    <x:row r="62" ht="14.5" customHeight="1">
      <x:c r="A62" s="104" t="s">
        <x:v>493</x:v>
      </x:c>
      <x:c r="B62" s="105" t="s">
        <x:v>494</x:v>
      </x:c>
      <x:c r="C62" s="105" t="s">
        <x:v>108</x:v>
      </x:c>
      <x:c r="D62" s="110" t="s">
        <x:v>77</x:v>
      </x:c>
      <x:c r="E62" s="114"/>
      <x:c r="F62" s="111" t="s">
        <x:v>83</x:v>
      </x:c>
      <x:c r="G62" s="105" t="s">
        <x:v>2417</x:v>
      </x:c>
      <x:c r="H62" s="104" t="s">
        <x:v>2428</x:v>
      </x:c>
      <x:c r="I62" s="104" t="s">
        <x:v>2429</x:v>
      </x:c>
      <x:c r="J62" s="104" t="s">
        <x:v>680</x:v>
      </x:c>
      <x:c r="K62" s="105" t="s">
        <x:v>1662</x:v>
      </x:c>
      <x:c r="L62" s="104" t="s">
        <x:v>495</x:v>
      </x:c>
      <x:c r="M62" s="105" t="s">
        <x:v>2251</x:v>
      </x:c>
      <x:c r="N62" s="104" t="s">
        <x:v>2430</x:v>
      </x:c>
    </x:row>
    <x:row r="63" ht="58" customHeight="1">
      <x:c r="A63" s="108" t="s">
        <x:v>496</x:v>
      </x:c>
      <x:c r="B63" s="109" t="s">
        <x:v>497</x:v>
      </x:c>
      <x:c r="C63" s="109" t="s">
        <x:v>108</x:v>
      </x:c>
      <x:c r="D63" s="110" t="s">
        <x:v>77</x:v>
      </x:c>
      <x:c r="E63" s="115"/>
      <x:c r="F63" s="111" t="s">
        <x:v>83</x:v>
      </x:c>
      <x:c r="G63" s="109" t="s">
        <x:v>2417</x:v>
      </x:c>
      <x:c r="H63" s="108" t="s">
        <x:v>2431</x:v>
      </x:c>
      <x:c r="I63" s="108" t="s">
        <x:v>2255</x:v>
      </x:c>
      <x:c r="J63" s="108" t="s">
        <x:v>2432</x:v>
      </x:c>
      <x:c r="K63" s="108" t="s">
        <x:v>1668</x:v>
      </x:c>
      <x:c r="L63" s="108" t="s">
        <x:v>484</x:v>
      </x:c>
      <x:c r="M63" s="109" t="s">
        <x:v>2251</x:v>
      </x:c>
      <x:c r="N63" s="108" t="s">
        <x:v>2433</x:v>
      </x:c>
    </x:row>
    <x:row r="64" ht="14.5" customHeight="1">
      <x:c r="A64" s="104" t="s">
        <x:v>500</x:v>
      </x:c>
      <x:c r="B64" s="104" t="s">
        <x:v>501</x:v>
      </x:c>
      <x:c r="C64" s="105" t="s">
        <x:v>112</x:v>
      </x:c>
      <x:c r="D64" s="110" t="s">
        <x:v>77</x:v>
      </x:c>
      <x:c r="E64" s="114"/>
      <x:c r="F64" s="107" t="s">
        <x:v>74</x:v>
      </x:c>
      <x:c r="G64" s="105" t="s">
        <x:v>2434</x:v>
      </x:c>
      <x:c r="H64" s="104" t="s">
        <x:v>2435</x:v>
      </x:c>
      <x:c r="I64" s="104" t="s">
        <x:v>2436</x:v>
      </x:c>
      <x:c r="J64" s="104" t="s">
        <x:v>2437</x:v>
      </x:c>
      <x:c r="K64" s="104" t="s">
        <x:v>1680</x:v>
      </x:c>
      <x:c r="L64" s="104" t="s">
        <x:v>502</x:v>
      </x:c>
      <x:c r="M64" s="105" t="s">
        <x:v>2192</x:v>
      </x:c>
      <x:c r="N64" s="104" t="s">
        <x:v>2438</x:v>
      </x:c>
    </x:row>
    <x:row r="65" ht="14.5" customHeight="1">
      <x:c r="A65" s="108" t="s">
        <x:v>503</x:v>
      </x:c>
      <x:c r="B65" s="108" t="s">
        <x:v>504</x:v>
      </x:c>
      <x:c r="C65" s="109" t="s">
        <x:v>112</x:v>
      </x:c>
      <x:c r="D65" s="113" t="s">
        <x:v>86</x:v>
      </x:c>
      <x:c r="E65" s="115"/>
      <x:c r="F65" s="107" t="s">
        <x:v>74</x:v>
      </x:c>
      <x:c r="G65" s="109" t="s">
        <x:v>2439</x:v>
      </x:c>
      <x:c r="H65" s="108" t="s">
        <x:v>2440</x:v>
      </x:c>
      <x:c r="I65" s="108" t="s">
        <x:v>2441</x:v>
      </x:c>
      <x:c r="J65" s="108" t="s">
        <x:v>2442</x:v>
      </x:c>
      <x:c r="K65" s="108" t="s">
        <x:v>1686</x:v>
      </x:c>
      <x:c r="L65" s="108" t="s">
        <x:v>502</x:v>
      </x:c>
      <x:c r="M65" s="109" t="s">
        <x:v>2192</x:v>
      </x:c>
      <x:c r="N65" s="108" t="s">
        <x:v>2443</x:v>
      </x:c>
    </x:row>
    <x:row r="66" ht="14.5" customHeight="1">
      <x:c r="A66" s="104" t="s">
        <x:v>505</x:v>
      </x:c>
      <x:c r="B66" s="105" t="s">
        <x:v>506</x:v>
      </x:c>
      <x:c r="C66" s="105" t="s">
        <x:v>112</x:v>
      </x:c>
      <x:c r="D66" s="113" t="s">
        <x:v>86</x:v>
      </x:c>
      <x:c r="E66" s="114"/>
      <x:c r="F66" s="107" t="s">
        <x:v>74</x:v>
      </x:c>
      <x:c r="G66" s="105" t="s">
        <x:v>2444</x:v>
      </x:c>
      <x:c r="H66" s="104" t="s">
        <x:v>2445</x:v>
      </x:c>
      <x:c r="I66" s="104" t="s">
        <x:v>2446</x:v>
      </x:c>
      <x:c r="J66" s="104" t="s">
        <x:v>2447</x:v>
      </x:c>
      <x:c r="K66" s="104" t="s">
        <x:v>1692</x:v>
      </x:c>
      <x:c r="L66" s="104" t="s">
        <x:v>507</x:v>
      </x:c>
      <x:c r="M66" s="105" t="s">
        <x:v>2421</x:v>
      </x:c>
      <x:c r="N66" s="104" t="s">
        <x:v>2448</x:v>
      </x:c>
    </x:row>
    <x:row r="67" ht="56.04999923706055" customHeight="1">
      <x:c r="A67" s="108" t="s">
        <x:v>508</x:v>
      </x:c>
      <x:c r="B67" s="108" t="s">
        <x:v>509</x:v>
      </x:c>
      <x:c r="C67" s="109" t="s">
        <x:v>112</x:v>
      </x:c>
      <x:c r="D67" s="106" t="s">
        <x:v>69</x:v>
      </x:c>
      <x:c r="E67" s="115"/>
      <x:c r="F67" s="107" t="s">
        <x:v>74</x:v>
      </x:c>
      <x:c r="G67" s="109" t="s">
        <x:v>2449</x:v>
      </x:c>
      <x:c r="H67" s="108" t="s">
        <x:v>2450</x:v>
      </x:c>
      <x:c r="I67" s="108" t="s">
        <x:v>2451</x:v>
      </x:c>
      <x:c r="J67" s="108" t="s">
        <x:v>2452</x:v>
      </x:c>
      <x:c r="K67" s="109" t="s">
        <x:v>1698</x:v>
      </x:c>
      <x:c r="L67" s="108" t="s">
        <x:v>507</x:v>
      </x:c>
      <x:c r="M67" s="109" t="s">
        <x:v>2192</x:v>
      </x:c>
      <x:c r="N67" s="109" t="s">
        <x:v>2453</x:v>
      </x:c>
    </x:row>
    <x:row r="68" ht="14.5" customHeight="1">
      <x:c r="A68" s="104" t="s">
        <x:v>513</x:v>
      </x:c>
      <x:c r="B68" s="105" t="s">
        <x:v>514</x:v>
      </x:c>
      <x:c r="C68" s="105" t="s">
        <x:v>112</x:v>
      </x:c>
      <x:c r="D68" s="113" t="s">
        <x:v>86</x:v>
      </x:c>
      <x:c r="E68" s="114"/>
      <x:c r="F68" s="107" t="s">
        <x:v>74</x:v>
      </x:c>
      <x:c r="G68" s="105" t="s">
        <x:v>2454</x:v>
      </x:c>
      <x:c r="H68" s="104" t="s">
        <x:v>2455</x:v>
      </x:c>
      <x:c r="I68" s="104" t="s">
        <x:v>2456</x:v>
      </x:c>
      <x:c r="J68" s="104" t="s">
        <x:v>2457</x:v>
      </x:c>
      <x:c r="K68" s="105" t="s">
        <x:v>1704</x:v>
      </x:c>
      <x:c r="L68" s="104" t="s">
        <x:v>502</x:v>
      </x:c>
      <x:c r="M68" s="105" t="s">
        <x:v>2192</x:v>
      </x:c>
      <x:c r="N68" s="104" t="s">
        <x:v>2458</x:v>
      </x:c>
    </x:row>
    <x:row r="69" ht="14.5" customHeight="1">
      <x:c r="A69" s="108" t="s">
        <x:v>515</x:v>
      </x:c>
      <x:c r="B69" s="109" t="s">
        <x:v>516</x:v>
      </x:c>
      <x:c r="C69" s="109" t="s">
        <x:v>112</x:v>
      </x:c>
      <x:c r="D69" s="113" t="s">
        <x:v>86</x:v>
      </x:c>
      <x:c r="E69" s="115"/>
      <x:c r="F69" s="107" t="s">
        <x:v>74</x:v>
      </x:c>
      <x:c r="G69" s="109" t="s">
        <x:v>2459</x:v>
      </x:c>
      <x:c r="H69" s="108" t="s">
        <x:v>2460</x:v>
      </x:c>
      <x:c r="I69" s="108" t="s">
        <x:v>2461</x:v>
      </x:c>
      <x:c r="J69" s="108" t="s">
        <x:v>2462</x:v>
      </x:c>
      <x:c r="K69" s="108" t="s">
        <x:v>1709</x:v>
      </x:c>
      <x:c r="L69" s="108" t="s">
        <x:v>507</x:v>
      </x:c>
      <x:c r="M69" s="109" t="s">
        <x:v>2192</x:v>
      </x:c>
      <x:c r="N69" s="108" t="s">
        <x:v>251</x:v>
      </x:c>
    </x:row>
    <x:row r="70" ht="58" customHeight="1">
      <x:c r="A70" s="104" t="s">
        <x:v>517</x:v>
      </x:c>
      <x:c r="B70" s="105" t="s">
        <x:v>518</x:v>
      </x:c>
      <x:c r="C70" s="105" t="s">
        <x:v>113</x:v>
      </x:c>
      <x:c r="D70" s="113" t="s">
        <x:v>86</x:v>
      </x:c>
      <x:c r="E70" s="114"/>
      <x:c r="F70" s="107" t="s">
        <x:v>74</x:v>
      </x:c>
      <x:c r="G70" s="104" t="s">
        <x:v>2463</x:v>
      </x:c>
      <x:c r="H70" s="104" t="s">
        <x:v>2464</x:v>
      </x:c>
      <x:c r="I70" s="104" t="s">
        <x:v>2465</x:v>
      </x:c>
      <x:c r="J70" s="104" t="s">
        <x:v>2466</x:v>
      </x:c>
      <x:c r="K70" s="105" t="s">
        <x:v>1720</x:v>
      </x:c>
      <x:c r="L70" s="104" t="s">
        <x:v>519</x:v>
      </x:c>
      <x:c r="M70" s="105" t="s">
        <x:v>2192</x:v>
      </x:c>
      <x:c r="N70" s="104" t="s">
        <x:v>2467</x:v>
      </x:c>
    </x:row>
    <x:row r="71" ht="29.049999237060547" customHeight="1">
      <x:c r="A71" s="108" t="s">
        <x:v>522</x:v>
      </x:c>
      <x:c r="B71" s="109" t="s">
        <x:v>523</x:v>
      </x:c>
      <x:c r="C71" s="109" t="s">
        <x:v>113</x:v>
      </x:c>
      <x:c r="D71" s="113" t="s">
        <x:v>86</x:v>
      </x:c>
      <x:c r="E71" s="115"/>
      <x:c r="F71" s="107" t="s">
        <x:v>74</x:v>
      </x:c>
      <x:c r="G71" s="108" t="s">
        <x:v>2463</x:v>
      </x:c>
      <x:c r="H71" s="108" t="s">
        <x:v>2468</x:v>
      </x:c>
      <x:c r="I71" s="108" t="s">
        <x:v>2465</x:v>
      </x:c>
      <x:c r="J71" s="108" t="s">
        <x:v>2469</x:v>
      </x:c>
      <x:c r="K71" s="109" t="s">
        <x:v>1726</x:v>
      </x:c>
      <x:c r="L71" s="108" t="s">
        <x:v>519</x:v>
      </x:c>
      <x:c r="M71" s="109" t="s">
        <x:v>2192</x:v>
      </x:c>
      <x:c r="N71" s="108" t="s">
        <x:v>234</x:v>
      </x:c>
    </x:row>
    <x:row r="72" ht="58" customHeight="1">
      <x:c r="A72" s="104" t="s">
        <x:v>524</x:v>
      </x:c>
      <x:c r="B72" s="105" t="s">
        <x:v>525</x:v>
      </x:c>
      <x:c r="C72" s="105" t="s">
        <x:v>113</x:v>
      </x:c>
      <x:c r="D72" s="113" t="s">
        <x:v>86</x:v>
      </x:c>
      <x:c r="E72" s="114"/>
      <x:c r="F72" s="107" t="s">
        <x:v>74</x:v>
      </x:c>
      <x:c r="G72" s="104" t="s">
        <x:v>2463</x:v>
      </x:c>
      <x:c r="H72" s="104" t="s">
        <x:v>2224</x:v>
      </x:c>
      <x:c r="I72" s="104" t="s">
        <x:v>2470</x:v>
      </x:c>
      <x:c r="J72" s="104" t="s">
        <x:v>2471</x:v>
      </x:c>
      <x:c r="K72" s="105" t="s">
        <x:v>1731</x:v>
      </x:c>
      <x:c r="L72" s="104" t="s">
        <x:v>519</x:v>
      </x:c>
      <x:c r="M72" s="105" t="s">
        <x:v>2192</x:v>
      </x:c>
      <x:c r="N72" s="104" t="s">
        <x:v>2472</x:v>
      </x:c>
    </x:row>
    <x:row r="73" ht="43.5" customHeight="1">
      <x:c r="A73" s="108" t="s">
        <x:v>528</x:v>
      </x:c>
      <x:c r="B73" s="109" t="s">
        <x:v>529</x:v>
      </x:c>
      <x:c r="C73" s="109" t="s">
        <x:v>113</x:v>
      </x:c>
      <x:c r="D73" s="113" t="s">
        <x:v>86</x:v>
      </x:c>
      <x:c r="E73" s="115"/>
      <x:c r="F73" s="107" t="s">
        <x:v>74</x:v>
      </x:c>
      <x:c r="G73" s="108" t="s">
        <x:v>2463</x:v>
      </x:c>
      <x:c r="H73" s="108" t="s">
        <x:v>2473</x:v>
      </x:c>
      <x:c r="I73" s="108" t="s">
        <x:v>2474</x:v>
      </x:c>
      <x:c r="J73" s="108" t="s">
        <x:v>2475</x:v>
      </x:c>
      <x:c r="K73" s="109" t="s">
        <x:v>1736</x:v>
      </x:c>
      <x:c r="L73" s="108" t="s">
        <x:v>519</x:v>
      </x:c>
      <x:c r="M73" s="109" t="s">
        <x:v>2192</x:v>
      </x:c>
      <x:c r="N73" s="108" t="s">
        <x:v>2476</x:v>
      </x:c>
    </x:row>
    <x:row r="74" ht="29.049999237060547" customHeight="1">
      <x:c r="A74" s="104" t="s">
        <x:v>532</x:v>
      </x:c>
      <x:c r="B74" s="105" t="s">
        <x:v>533</x:v>
      </x:c>
      <x:c r="C74" s="105" t="s">
        <x:v>113</x:v>
      </x:c>
      <x:c r="D74" s="113" t="s">
        <x:v>86</x:v>
      </x:c>
      <x:c r="E74" s="114"/>
      <x:c r="F74" s="107" t="s">
        <x:v>74</x:v>
      </x:c>
      <x:c r="G74" s="104" t="s">
        <x:v>2463</x:v>
      </x:c>
      <x:c r="H74" s="104" t="s">
        <x:v>2477</x:v>
      </x:c>
      <x:c r="I74" s="104" t="s">
        <x:v>2478</x:v>
      </x:c>
      <x:c r="J74" s="104" t="s">
        <x:v>2479</x:v>
      </x:c>
      <x:c r="K74" s="104" t="s">
        <x:v>1741</x:v>
      </x:c>
      <x:c r="L74" s="104" t="s">
        <x:v>519</x:v>
      </x:c>
      <x:c r="M74" s="105" t="s">
        <x:v>2192</x:v>
      </x:c>
      <x:c r="N74" s="104" t="s">
        <x:v>238</x:v>
      </x:c>
    </x:row>
    <x:row r="75" ht="29.049999237060547" customHeight="1">
      <x:c r="A75" s="108" t="s">
        <x:v>534</x:v>
      </x:c>
      <x:c r="B75" s="109" t="s">
        <x:v>535</x:v>
      </x:c>
      <x:c r="C75" s="109" t="s">
        <x:v>113</x:v>
      </x:c>
      <x:c r="D75" s="113" t="s">
        <x:v>86</x:v>
      </x:c>
      <x:c r="E75" s="115"/>
      <x:c r="F75" s="107" t="s">
        <x:v>74</x:v>
      </x:c>
      <x:c r="G75" s="108" t="s">
        <x:v>2463</x:v>
      </x:c>
      <x:c r="H75" s="108" t="s">
        <x:v>2480</x:v>
      </x:c>
      <x:c r="I75" s="108" t="s">
        <x:v>2481</x:v>
      </x:c>
      <x:c r="J75" s="108" t="s">
        <x:v>680</x:v>
      </x:c>
      <x:c r="K75" s="109" t="s">
        <x:v>1746</x:v>
      </x:c>
      <x:c r="L75" s="108" t="s">
        <x:v>519</x:v>
      </x:c>
      <x:c r="M75" s="109" t="s">
        <x:v>2482</x:v>
      </x:c>
      <x:c r="N75" s="108" t="s">
        <x:v>2483</x:v>
      </x:c>
    </x:row>
    <x:row r="76" ht="29.049999237060547" customHeight="1">
      <x:c r="A76" s="104" t="s">
        <x:v>538</x:v>
      </x:c>
      <x:c r="B76" s="105" t="s">
        <x:v>539</x:v>
      </x:c>
      <x:c r="C76" s="105" t="s">
        <x:v>113</x:v>
      </x:c>
      <x:c r="D76" s="113" t="s">
        <x:v>86</x:v>
      </x:c>
      <x:c r="E76" s="114"/>
      <x:c r="F76" s="107" t="s">
        <x:v>74</x:v>
      </x:c>
      <x:c r="G76" s="104" t="s">
        <x:v>2463</x:v>
      </x:c>
      <x:c r="H76" s="104" t="s">
        <x:v>2484</x:v>
      </x:c>
      <x:c r="I76" s="104" t="s">
        <x:v>2461</x:v>
      </x:c>
      <x:c r="J76" s="104" t="s">
        <x:v>2485</x:v>
      </x:c>
      <x:c r="K76" s="105" t="s">
        <x:v>1751</x:v>
      </x:c>
      <x:c r="L76" s="104" t="s">
        <x:v>519</x:v>
      </x:c>
      <x:c r="M76" s="105" t="s">
        <x:v>2192</x:v>
      </x:c>
      <x:c r="N76" s="104" t="s">
        <x:v>2486</x:v>
      </x:c>
    </x:row>
    <x:row r="77" ht="29.049999237060547" customHeight="1">
      <x:c r="A77" s="108" t="s">
        <x:v>542</x:v>
      </x:c>
      <x:c r="B77" s="109" t="s">
        <x:v>543</x:v>
      </x:c>
      <x:c r="C77" s="109" t="s">
        <x:v>113</x:v>
      </x:c>
      <x:c r="D77" s="110" t="s">
        <x:v>77</x:v>
      </x:c>
      <x:c r="E77" s="115"/>
      <x:c r="F77" s="111" t="s">
        <x:v>83</x:v>
      </x:c>
      <x:c r="G77" s="108" t="s">
        <x:v>2463</x:v>
      </x:c>
      <x:c r="H77" s="108" t="s">
        <x:v>680</x:v>
      </x:c>
      <x:c r="I77" s="108" t="s">
        <x:v>2255</x:v>
      </x:c>
      <x:c r="J77" s="108" t="s">
        <x:v>680</x:v>
      </x:c>
      <x:c r="K77" s="109" t="s">
        <x:v>1757</x:v>
      </x:c>
      <x:c r="L77" s="108" t="s">
        <x:v>519</x:v>
      </x:c>
      <x:c r="M77" s="109" t="s">
        <x:v>2201</x:v>
      </x:c>
      <x:c r="N77" s="108" t="s">
        <x:v>2487</x:v>
      </x:c>
    </x:row>
    <x:row r="78" ht="43.5" customHeight="1">
      <x:c r="A78" s="104" t="s">
        <x:v>545</x:v>
      </x:c>
      <x:c r="B78" s="105" t="s">
        <x:v>546</x:v>
      </x:c>
      <x:c r="C78" s="105" t="s">
        <x:v>113</x:v>
      </x:c>
      <x:c r="D78" s="106" t="s">
        <x:v>69</x:v>
      </x:c>
      <x:c r="E78" s="114"/>
      <x:c r="F78" s="111" t="s">
        <x:v>83</x:v>
      </x:c>
      <x:c r="G78" s="104" t="s">
        <x:v>2463</x:v>
      </x:c>
      <x:c r="H78" s="104" t="s">
        <x:v>2488</x:v>
      </x:c>
      <x:c r="I78" s="104" t="s">
        <x:v>2489</x:v>
      </x:c>
      <x:c r="J78" s="104" t="s">
        <x:v>2490</x:v>
      </x:c>
      <x:c r="K78" s="105" t="s">
        <x:v>1763</x:v>
      </x:c>
      <x:c r="L78" s="104" t="s">
        <x:v>519</x:v>
      </x:c>
      <x:c r="M78" s="105" t="s">
        <x:v>2192</x:v>
      </x:c>
      <x:c r="N78" s="104" t="s">
        <x:v>2491</x:v>
      </x:c>
    </x:row>
    <x:row r="79" ht="70" customHeight="1">
      <x:c r="A79" s="108" t="s">
        <x:v>549</x:v>
      </x:c>
      <x:c r="B79" s="108" t="s">
        <x:v>550</x:v>
      </x:c>
      <x:c r="C79" s="109" t="s">
        <x:v>118</x:v>
      </x:c>
      <x:c r="D79" s="106" t="s">
        <x:v>69</x:v>
      </x:c>
      <x:c r="E79" s="115"/>
      <x:c r="F79" s="107" t="s">
        <x:v>74</x:v>
      </x:c>
      <x:c r="G79" s="109" t="s">
        <x:v>2492</x:v>
      </x:c>
      <x:c r="H79" s="108" t="s">
        <x:v>2493</x:v>
      </x:c>
      <x:c r="I79" s="108" t="s">
        <x:v>2494</x:v>
      </x:c>
      <x:c r="J79" s="108" t="s">
        <x:v>2495</x:v>
      </x:c>
      <x:c r="K79" s="109" t="s">
        <x:v>1781</x:v>
      </x:c>
      <x:c r="L79" s="108" t="s">
        <x:v>553</x:v>
      </x:c>
      <x:c r="M79" s="109" t="s">
        <x:v>2192</x:v>
      </x:c>
      <x:c r="N79" s="109" t="s">
        <x:v>2496</x:v>
      </x:c>
    </x:row>
    <x:row r="80" ht="126" customHeight="1">
      <x:c r="A80" s="104" t="s">
        <x:v>555</x:v>
      </x:c>
      <x:c r="B80" s="104" t="s">
        <x:v>556</x:v>
      </x:c>
      <x:c r="C80" s="105" t="s">
        <x:v>118</x:v>
      </x:c>
      <x:c r="D80" s="110" t="s">
        <x:v>77</x:v>
      </x:c>
      <x:c r="E80" s="114"/>
      <x:c r="F80" s="107" t="s">
        <x:v>74</x:v>
      </x:c>
      <x:c r="G80" s="105" t="s">
        <x:v>2492</x:v>
      </x:c>
      <x:c r="H80" s="104" t="s">
        <x:v>2497</x:v>
      </x:c>
      <x:c r="I80" s="104" t="s">
        <x:v>2498</x:v>
      </x:c>
      <x:c r="J80" s="104" t="s">
        <x:v>2499</x:v>
      </x:c>
      <x:c r="K80" s="105" t="s">
        <x:v>1787</x:v>
      </x:c>
      <x:c r="L80" s="104" t="s">
        <x:v>553</x:v>
      </x:c>
      <x:c r="M80" s="105" t="s">
        <x:v>2251</x:v>
      </x:c>
      <x:c r="N80" s="105" t="s">
        <x:v>2500</x:v>
      </x:c>
    </x:row>
    <x:row r="81" ht="58" customHeight="1">
      <x:c r="A81" s="108" t="s">
        <x:v>560</x:v>
      </x:c>
      <x:c r="B81" s="109" t="s">
        <x:v>561</x:v>
      </x:c>
      <x:c r="C81" s="109" t="s">
        <x:v>118</x:v>
      </x:c>
      <x:c r="D81" s="113" t="s">
        <x:v>86</x:v>
      </x:c>
      <x:c r="E81" s="115"/>
      <x:c r="F81" s="107" t="s">
        <x:v>74</x:v>
      </x:c>
      <x:c r="G81" s="109" t="s">
        <x:v>2492</x:v>
      </x:c>
      <x:c r="H81" s="108" t="s">
        <x:v>2501</x:v>
      </x:c>
      <x:c r="I81" s="108" t="s">
        <x:v>2502</x:v>
      </x:c>
      <x:c r="J81" s="108" t="s">
        <x:v>2503</x:v>
      </x:c>
      <x:c r="K81" s="108" t="s">
        <x:v>1794</x:v>
      </x:c>
      <x:c r="L81" s="108" t="s">
        <x:v>553</x:v>
      </x:c>
      <x:c r="M81" s="109" t="s">
        <x:v>2192</x:v>
      </x:c>
      <x:c r="N81" s="108" t="s">
        <x:v>2504</x:v>
      </x:c>
    </x:row>
    <x:row r="82" ht="14.5" customHeight="1">
      <x:c r="A82" s="104" t="s">
        <x:v>563</x:v>
      </x:c>
      <x:c r="B82" s="105" t="s">
        <x:v>564</x:v>
      </x:c>
      <x:c r="C82" s="105" t="s">
        <x:v>118</x:v>
      </x:c>
      <x:c r="D82" s="113" t="s">
        <x:v>86</x:v>
      </x:c>
      <x:c r="E82" s="114"/>
      <x:c r="F82" s="107" t="s">
        <x:v>74</x:v>
      </x:c>
      <x:c r="G82" s="105" t="s">
        <x:v>2492</x:v>
      </x:c>
      <x:c r="H82" s="104" t="s">
        <x:v>2505</x:v>
      </x:c>
      <x:c r="I82" s="104" t="s">
        <x:v>2506</x:v>
      </x:c>
      <x:c r="J82" s="104" t="s">
        <x:v>2507</x:v>
      </x:c>
      <x:c r="K82" s="105" t="s">
        <x:v>1801</x:v>
      </x:c>
      <x:c r="L82" s="104" t="s">
        <x:v>553</x:v>
      </x:c>
      <x:c r="M82" s="105" t="s">
        <x:v>2192</x:v>
      </x:c>
      <x:c r="N82" s="105" t="s">
        <x:v>2508</x:v>
      </x:c>
    </x:row>
    <x:row r="83" ht="28" customHeight="1">
      <x:c r="A83" s="108" t="s">
        <x:v>567</x:v>
      </x:c>
      <x:c r="B83" s="109" t="s">
        <x:v>568</x:v>
      </x:c>
      <x:c r="C83" s="109" t="s">
        <x:v>118</x:v>
      </x:c>
      <x:c r="D83" s="110" t="s">
        <x:v>77</x:v>
      </x:c>
      <x:c r="E83" s="115"/>
      <x:c r="F83" s="107" t="s">
        <x:v>74</x:v>
      </x:c>
      <x:c r="G83" s="109" t="s">
        <x:v>2492</x:v>
      </x:c>
      <x:c r="H83" s="108" t="s">
        <x:v>2509</x:v>
      </x:c>
      <x:c r="I83" s="108" t="s">
        <x:v>2510</x:v>
      </x:c>
      <x:c r="J83" s="108" t="s">
        <x:v>2511</x:v>
      </x:c>
      <x:c r="K83" s="109" t="s">
        <x:v>2512</x:v>
      </x:c>
      <x:c r="L83" s="108" t="s">
        <x:v>553</x:v>
      </x:c>
      <x:c r="M83" s="109" t="s">
        <x:v>2251</x:v>
      </x:c>
      <x:c r="N83" s="108" t="s">
        <x:v>2513</x:v>
      </x:c>
    </x:row>
    <x:row r="84" ht="58" customHeight="1">
      <x:c r="A84" s="104" t="s">
        <x:v>570</x:v>
      </x:c>
      <x:c r="B84" s="105" t="s">
        <x:v>571</x:v>
      </x:c>
      <x:c r="C84" s="105" t="s">
        <x:v>118</x:v>
      </x:c>
      <x:c r="D84" s="110" t="s">
        <x:v>77</x:v>
      </x:c>
      <x:c r="E84" s="114"/>
      <x:c r="F84" s="111" t="s">
        <x:v>83</x:v>
      </x:c>
      <x:c r="G84" s="105" t="s">
        <x:v>2492</x:v>
      </x:c>
      <x:c r="H84" s="104" t="s">
        <x:v>680</x:v>
      </x:c>
      <x:c r="I84" s="104" t="s">
        <x:v>2255</x:v>
      </x:c>
      <x:c r="J84" s="104" t="s">
        <x:v>680</x:v>
      </x:c>
      <x:c r="K84" s="105" t="s">
        <x:v>1812</x:v>
      </x:c>
      <x:c r="L84" s="104" t="s">
        <x:v>553</x:v>
      </x:c>
      <x:c r="M84" s="105" t="s">
        <x:v>2201</x:v>
      </x:c>
      <x:c r="N84" s="104" t="s">
        <x:v>2514</x:v>
      </x:c>
    </x:row>
    <x:row r="85" ht="29.049999237060547" customHeight="1">
      <x:c r="A85" s="108" t="s">
        <x:v>575</x:v>
      </x:c>
      <x:c r="B85" s="109" t="s">
        <x:v>576</x:v>
      </x:c>
      <x:c r="C85" s="109" t="s">
        <x:v>118</x:v>
      </x:c>
      <x:c r="D85" s="110" t="s">
        <x:v>77</x:v>
      </x:c>
      <x:c r="E85" s="115"/>
      <x:c r="F85" s="111" t="s">
        <x:v>83</x:v>
      </x:c>
      <x:c r="G85" s="109" t="s">
        <x:v>2492</x:v>
      </x:c>
      <x:c r="H85" s="108" t="s">
        <x:v>2515</x:v>
      </x:c>
      <x:c r="I85" s="108" t="s">
        <x:v>2429</x:v>
      </x:c>
      <x:c r="J85" s="108" t="s">
        <x:v>680</x:v>
      </x:c>
      <x:c r="K85" s="109" t="s">
        <x:v>1817</x:v>
      </x:c>
      <x:c r="L85" s="108" t="s">
        <x:v>495</x:v>
      </x:c>
      <x:c r="M85" s="109" t="s">
        <x:v>2251</x:v>
      </x:c>
      <x:c r="N85" s="108" t="s">
        <x:v>2516</x:v>
      </x:c>
    </x:row>
    <x:row r="86" ht="14.5" customHeight="1">
      <x:c r="A86" s="104" t="s">
        <x:v>578</x:v>
      </x:c>
      <x:c r="B86" s="105" t="s">
        <x:v>579</x:v>
      </x:c>
      <x:c r="C86" s="105" t="s">
        <x:v>122</x:v>
      </x:c>
      <x:c r="D86" s="113" t="s">
        <x:v>86</x:v>
      </x:c>
      <x:c r="E86" s="114"/>
      <x:c r="F86" s="107" t="s">
        <x:v>74</x:v>
      </x:c>
      <x:c r="G86" s="105" t="s">
        <x:v>2517</x:v>
      </x:c>
      <x:c r="H86" s="104" t="s">
        <x:v>680</x:v>
      </x:c>
      <x:c r="I86" s="104" t="s">
        <x:v>2518</x:v>
      </x:c>
      <x:c r="J86" s="104" t="s">
        <x:v>680</x:v>
      </x:c>
      <x:c r="K86" s="105" t="s">
        <x:v>1822</x:v>
      </x:c>
      <x:c r="L86" s="104" t="s">
        <x:v>581</x:v>
      </x:c>
      <x:c r="M86" s="105" t="s">
        <x:v>2482</x:v>
      </x:c>
      <x:c r="N86" s="104" t="s">
        <x:v>2519</x:v>
      </x:c>
    </x:row>
    <x:row r="87" ht="43.5" customHeight="1">
      <x:c r="A87" s="108" t="s">
        <x:v>582</x:v>
      </x:c>
      <x:c r="B87" s="109" t="s">
        <x:v>583</x:v>
      </x:c>
      <x:c r="C87" s="109" t="s">
        <x:v>122</x:v>
      </x:c>
      <x:c r="D87" s="113" t="s">
        <x:v>86</x:v>
      </x:c>
      <x:c r="E87" s="115"/>
      <x:c r="F87" s="107" t="s">
        <x:v>74</x:v>
      </x:c>
      <x:c r="G87" s="109" t="s">
        <x:v>2517</x:v>
      </x:c>
      <x:c r="H87" s="108" t="s">
        <x:v>2520</x:v>
      </x:c>
      <x:c r="I87" s="108" t="s">
        <x:v>2521</x:v>
      </x:c>
      <x:c r="J87" s="108" t="s">
        <x:v>2522</x:v>
      </x:c>
      <x:c r="K87" s="109" t="s">
        <x:v>1827</x:v>
      </x:c>
      <x:c r="L87" s="108" t="s">
        <x:v>581</x:v>
      </x:c>
      <x:c r="M87" s="109" t="s">
        <x:v>2421</x:v>
      </x:c>
      <x:c r="N87" s="108" t="s">
        <x:v>2523</x:v>
      </x:c>
    </x:row>
    <x:row r="88" ht="43.5" customHeight="1">
      <x:c r="A88" s="104" t="s">
        <x:v>586</x:v>
      </x:c>
      <x:c r="B88" s="104" t="s">
        <x:v>587</x:v>
      </x:c>
      <x:c r="C88" s="105" t="s">
        <x:v>122</x:v>
      </x:c>
      <x:c r="D88" s="113" t="s">
        <x:v>86</x:v>
      </x:c>
      <x:c r="E88" s="114"/>
      <x:c r="F88" s="107" t="s">
        <x:v>74</x:v>
      </x:c>
      <x:c r="G88" s="105" t="s">
        <x:v>2517</x:v>
      </x:c>
      <x:c r="H88" s="104" t="s">
        <x:v>2524</x:v>
      </x:c>
      <x:c r="I88" s="104" t="s">
        <x:v>2525</x:v>
      </x:c>
      <x:c r="J88" s="104" t="s">
        <x:v>2526</x:v>
      </x:c>
      <x:c r="K88" s="104" t="s">
        <x:v>1834</x:v>
      </x:c>
      <x:c r="L88" s="104" t="s">
        <x:v>581</x:v>
      </x:c>
      <x:c r="M88" s="105" t="s">
        <x:v>2421</x:v>
      </x:c>
      <x:c r="N88" s="104" t="s">
        <x:v>2527</x:v>
      </x:c>
    </x:row>
    <x:row r="89" ht="43.5" customHeight="1">
      <x:c r="A89" s="108" t="s">
        <x:v>592</x:v>
      </x:c>
      <x:c r="B89" s="109" t="s">
        <x:v>593</x:v>
      </x:c>
      <x:c r="C89" s="109" t="s">
        <x:v>122</x:v>
      </x:c>
      <x:c r="D89" s="106" t="s">
        <x:v>69</x:v>
      </x:c>
      <x:c r="E89" s="115"/>
      <x:c r="F89" s="107" t="s">
        <x:v>74</x:v>
      </x:c>
      <x:c r="G89" s="109" t="s">
        <x:v>2517</x:v>
      </x:c>
      <x:c r="H89" s="108" t="s">
        <x:v>2528</x:v>
      </x:c>
      <x:c r="I89" s="108" t="s">
        <x:v>2529</x:v>
      </x:c>
      <x:c r="J89" s="108" t="s">
        <x:v>2530</x:v>
      </x:c>
      <x:c r="K89" s="109" t="s">
        <x:v>1840</x:v>
      </x:c>
      <x:c r="L89" s="108" t="s">
        <x:v>581</x:v>
      </x:c>
      <x:c r="M89" s="109" t="s">
        <x:v>2192</x:v>
      </x:c>
      <x:c r="N89" s="108" t="s">
        <x:v>2531</x:v>
      </x:c>
    </x:row>
    <x:row r="90" ht="14.5" customHeight="1">
      <x:c r="A90" s="104" t="s">
        <x:v>596</x:v>
      </x:c>
      <x:c r="B90" s="104" t="s">
        <x:v>597</x:v>
      </x:c>
      <x:c r="C90" s="105" t="s">
        <x:v>122</x:v>
      </x:c>
      <x:c r="D90" s="113" t="s">
        <x:v>86</x:v>
      </x:c>
      <x:c r="E90" s="114"/>
      <x:c r="F90" s="107" t="s">
        <x:v>74</x:v>
      </x:c>
      <x:c r="G90" s="105" t="s">
        <x:v>2517</x:v>
      </x:c>
      <x:c r="H90" s="104" t="s">
        <x:v>2532</x:v>
      </x:c>
      <x:c r="I90" s="104" t="s">
        <x:v>2533</x:v>
      </x:c>
      <x:c r="J90" s="104" t="s">
        <x:v>2534</x:v>
      </x:c>
      <x:c r="K90" s="104" t="s">
        <x:v>1846</x:v>
      </x:c>
      <x:c r="L90" s="104" t="s">
        <x:v>581</x:v>
      </x:c>
      <x:c r="M90" s="105" t="s">
        <x:v>2192</x:v>
      </x:c>
      <x:c r="N90" s="105" t="s">
        <x:v>2535</x:v>
      </x:c>
    </x:row>
    <x:row r="91" ht="29.049999237060547" customHeight="1">
      <x:c r="A91" s="108" t="s">
        <x:v>598</x:v>
      </x:c>
      <x:c r="B91" s="108" t="s">
        <x:v>599</x:v>
      </x:c>
      <x:c r="C91" s="109" t="s">
        <x:v>122</x:v>
      </x:c>
      <x:c r="D91" s="106" t="s">
        <x:v>69</x:v>
      </x:c>
      <x:c r="E91" s="115"/>
      <x:c r="F91" s="111" t="s">
        <x:v>83</x:v>
      </x:c>
      <x:c r="G91" s="109" t="s">
        <x:v>2517</x:v>
      </x:c>
      <x:c r="H91" s="108" t="s">
        <x:v>2536</x:v>
      </x:c>
      <x:c r="I91" s="108" t="s">
        <x:v>2537</x:v>
      </x:c>
      <x:c r="J91" s="108" t="s">
        <x:v>2538</x:v>
      </x:c>
      <x:c r="K91" s="108" t="s">
        <x:v>1851</x:v>
      </x:c>
      <x:c r="L91" s="108" t="s">
        <x:v>581</x:v>
      </x:c>
      <x:c r="M91" s="109" t="s">
        <x:v>2421</x:v>
      </x:c>
      <x:c r="N91" s="108" t="s">
        <x:v>2539</x:v>
      </x:c>
    </x:row>
    <x:row r="92" ht="29.049999237060547" customHeight="1">
      <x:c r="A92" s="104" t="s">
        <x:v>603</x:v>
      </x:c>
      <x:c r="B92" s="105" t="s">
        <x:v>604</x:v>
      </x:c>
      <x:c r="C92" s="105" t="s">
        <x:v>122</x:v>
      </x:c>
      <x:c r="D92" s="113" t="s">
        <x:v>86</x:v>
      </x:c>
      <x:c r="E92" s="114"/>
      <x:c r="F92" s="107" t="s">
        <x:v>74</x:v>
      </x:c>
      <x:c r="G92" s="105" t="s">
        <x:v>2517</x:v>
      </x:c>
      <x:c r="H92" s="104" t="s">
        <x:v>2540</x:v>
      </x:c>
      <x:c r="I92" s="104" t="s">
        <x:v>2541</x:v>
      </x:c>
      <x:c r="J92" s="104" t="s">
        <x:v>2542</x:v>
      </x:c>
      <x:c r="K92" s="105" t="s">
        <x:v>1857</x:v>
      </x:c>
      <x:c r="L92" s="104" t="s">
        <x:v>581</x:v>
      </x:c>
      <x:c r="M92" s="105" t="s">
        <x:v>2192</x:v>
      </x:c>
      <x:c r="N92" s="104" t="s">
        <x:v>2543</x:v>
      </x:c>
    </x:row>
    <x:row r="93" ht="29.049999237060547" customHeight="1">
      <x:c r="A93" s="108" t="s">
        <x:v>607</x:v>
      </x:c>
      <x:c r="B93" s="109" t="s">
        <x:v>608</x:v>
      </x:c>
      <x:c r="C93" s="109" t="s">
        <x:v>122</x:v>
      </x:c>
      <x:c r="D93" s="110" t="s">
        <x:v>77</x:v>
      </x:c>
      <x:c r="E93" s="115"/>
      <x:c r="F93" s="107" t="s">
        <x:v>74</x:v>
      </x:c>
      <x:c r="G93" s="109" t="s">
        <x:v>2517</x:v>
      </x:c>
      <x:c r="H93" s="108" t="s">
        <x:v>680</x:v>
      </x:c>
      <x:c r="I93" s="108" t="s">
        <x:v>2544</x:v>
      </x:c>
      <x:c r="J93" s="108" t="s">
        <x:v>680</x:v>
      </x:c>
      <x:c r="K93" s="109" t="s">
        <x:v>1863</x:v>
      </x:c>
      <x:c r="L93" s="108" t="s">
        <x:v>581</x:v>
      </x:c>
      <x:c r="M93" s="109" t="s">
        <x:v>2201</x:v>
      </x:c>
      <x:c r="N93" s="108" t="s">
        <x:v>2545</x:v>
      </x:c>
    </x:row>
    <x:row r="94" ht="29.049999237060547" customHeight="1">
      <x:c r="A94" s="104" t="s">
        <x:v>610</x:v>
      </x:c>
      <x:c r="B94" s="105" t="s">
        <x:v>611</x:v>
      </x:c>
      <x:c r="C94" s="105" t="s">
        <x:v>122</x:v>
      </x:c>
      <x:c r="D94" s="113" t="s">
        <x:v>86</x:v>
      </x:c>
      <x:c r="E94" s="114"/>
      <x:c r="F94" s="107" t="s">
        <x:v>74</x:v>
      </x:c>
      <x:c r="G94" s="105" t="s">
        <x:v>2517</x:v>
      </x:c>
      <x:c r="H94" s="104" t="s">
        <x:v>2546</x:v>
      </x:c>
      <x:c r="I94" s="104" t="s">
        <x:v>2547</x:v>
      </x:c>
      <x:c r="J94" s="104" t="s">
        <x:v>2548</x:v>
      </x:c>
      <x:c r="K94" s="105" t="s">
        <x:v>1868</x:v>
      </x:c>
      <x:c r="L94" s="104" t="s">
        <x:v>581</x:v>
      </x:c>
      <x:c r="M94" s="105" t="s">
        <x:v>2421</x:v>
      </x:c>
      <x:c r="N94" s="104" t="s">
        <x:v>2549</x:v>
      </x:c>
    </x:row>
    <x:row r="95" ht="29.049999237060547" customHeight="1">
      <x:c r="A95" s="108" t="s">
        <x:v>614</x:v>
      </x:c>
      <x:c r="B95" s="109" t="s">
        <x:v>615</x:v>
      </x:c>
      <x:c r="C95" s="109" t="s">
        <x:v>122</x:v>
      </x:c>
      <x:c r="D95" s="113" t="s">
        <x:v>86</x:v>
      </x:c>
      <x:c r="E95" s="115"/>
      <x:c r="F95" s="107" t="s">
        <x:v>74</x:v>
      </x:c>
      <x:c r="G95" s="109" t="s">
        <x:v>2517</x:v>
      </x:c>
      <x:c r="H95" s="108" t="s">
        <x:v>680</x:v>
      </x:c>
      <x:c r="I95" s="108" t="s">
        <x:v>2550</x:v>
      </x:c>
      <x:c r="J95" s="108" t="s">
        <x:v>680</x:v>
      </x:c>
      <x:c r="K95" s="109" t="s">
        <x:v>1873</x:v>
      </x:c>
      <x:c r="L95" s="108" t="s">
        <x:v>581</x:v>
      </x:c>
      <x:c r="M95" s="109" t="s">
        <x:v>2482</x:v>
      </x:c>
      <x:c r="N95" s="108" t="s">
        <x:v>2551</x:v>
      </x:c>
    </x:row>
    <x:row r="96" ht="14.5" customHeight="1">
      <x:c r="A96" s="104" t="s">
        <x:v>618</x:v>
      </x:c>
      <x:c r="B96" s="105" t="s">
        <x:v>619</x:v>
      </x:c>
      <x:c r="C96" s="105" t="s">
        <x:v>126</x:v>
      </x:c>
      <x:c r="D96" s="113" t="s">
        <x:v>86</x:v>
      </x:c>
      <x:c r="E96" s="114"/>
      <x:c r="F96" s="107" t="s">
        <x:v>74</x:v>
      </x:c>
      <x:c r="G96" s="105" t="s">
        <x:v>2552</x:v>
      </x:c>
      <x:c r="H96" s="104" t="s">
        <x:v>2553</x:v>
      </x:c>
      <x:c r="I96" s="104" t="s">
        <x:v>2554</x:v>
      </x:c>
      <x:c r="J96" s="104" t="s">
        <x:v>2555</x:v>
      </x:c>
      <x:c r="K96" s="105" t="s">
        <x:v>1885</x:v>
      </x:c>
      <x:c r="L96" s="104" t="s">
        <x:v>620</x:v>
      </x:c>
      <x:c r="M96" s="105" t="s">
        <x:v>2192</x:v>
      </x:c>
      <x:c r="N96" s="104" t="s">
        <x:v>238</x:v>
      </x:c>
    </x:row>
    <x:row r="97" ht="14.5" customHeight="1">
      <x:c r="A97" s="108" t="s">
        <x:v>621</x:v>
      </x:c>
      <x:c r="B97" s="109" t="s">
        <x:v>622</x:v>
      </x:c>
      <x:c r="C97" s="109" t="s">
        <x:v>126</x:v>
      </x:c>
      <x:c r="D97" s="113" t="s">
        <x:v>86</x:v>
      </x:c>
      <x:c r="E97" s="115"/>
      <x:c r="F97" s="107" t="s">
        <x:v>74</x:v>
      </x:c>
      <x:c r="G97" s="109" t="s">
        <x:v>2552</x:v>
      </x:c>
      <x:c r="H97" s="108" t="s">
        <x:v>2556</x:v>
      </x:c>
      <x:c r="I97" s="108" t="s">
        <x:v>2557</x:v>
      </x:c>
      <x:c r="J97" s="108" t="s">
        <x:v>2558</x:v>
      </x:c>
      <x:c r="K97" s="109" t="s">
        <x:v>1890</x:v>
      </x:c>
      <x:c r="L97" s="108" t="s">
        <x:v>620</x:v>
      </x:c>
      <x:c r="M97" s="109" t="s">
        <x:v>2192</x:v>
      </x:c>
      <x:c r="N97" s="108" t="s">
        <x:v>2559</x:v>
      </x:c>
    </x:row>
    <x:row r="98" ht="14.5" customHeight="1">
      <x:c r="A98" s="104" t="s">
        <x:v>624</x:v>
      </x:c>
      <x:c r="B98" s="105" t="s">
        <x:v>625</x:v>
      </x:c>
      <x:c r="C98" s="105" t="s">
        <x:v>126</x:v>
      </x:c>
      <x:c r="D98" s="113" t="s">
        <x:v>86</x:v>
      </x:c>
      <x:c r="E98" s="114"/>
      <x:c r="F98" s="107" t="s">
        <x:v>74</x:v>
      </x:c>
      <x:c r="G98" s="105" t="s">
        <x:v>2560</x:v>
      </x:c>
      <x:c r="H98" s="104" t="s">
        <x:v>2561</x:v>
      </x:c>
      <x:c r="I98" s="104" t="s">
        <x:v>2562</x:v>
      </x:c>
      <x:c r="J98" s="104" t="s">
        <x:v>2563</x:v>
      </x:c>
      <x:c r="K98" s="105" t="s">
        <x:v>1895</x:v>
      </x:c>
      <x:c r="L98" s="104" t="s">
        <x:v>620</x:v>
      </x:c>
      <x:c r="M98" s="105" t="s">
        <x:v>2192</x:v>
      </x:c>
      <x:c r="N98" s="104" t="s">
        <x:v>2564</x:v>
      </x:c>
    </x:row>
    <x:row r="99" ht="29.049999237060547" customHeight="1">
      <x:c r="A99" s="108" t="s">
        <x:v>627</x:v>
      </x:c>
      <x:c r="B99" s="109" t="s">
        <x:v>628</x:v>
      </x:c>
      <x:c r="C99" s="109" t="s">
        <x:v>126</x:v>
      </x:c>
      <x:c r="D99" s="113" t="s">
        <x:v>86</x:v>
      </x:c>
      <x:c r="E99" s="115"/>
      <x:c r="F99" s="107" t="s">
        <x:v>74</x:v>
      </x:c>
      <x:c r="G99" s="109" t="s">
        <x:v>2552</x:v>
      </x:c>
      <x:c r="H99" s="108" t="s">
        <x:v>2565</x:v>
      </x:c>
      <x:c r="I99" s="108" t="s">
        <x:v>2566</x:v>
      </x:c>
      <x:c r="J99" s="108" t="s">
        <x:v>2567</x:v>
      </x:c>
      <x:c r="K99" s="109" t="s">
        <x:v>1901</x:v>
      </x:c>
      <x:c r="L99" s="108" t="s">
        <x:v>620</x:v>
      </x:c>
      <x:c r="M99" s="109" t="s">
        <x:v>2421</x:v>
      </x:c>
      <x:c r="N99" s="108" t="s">
        <x:v>2568</x:v>
      </x:c>
    </x:row>
    <x:row r="100" ht="58" customHeight="1">
      <x:c r="A100" s="104" t="s">
        <x:v>631</x:v>
      </x:c>
      <x:c r="B100" s="105" t="s">
        <x:v>632</x:v>
      </x:c>
      <x:c r="C100" s="105" t="s">
        <x:v>126</x:v>
      </x:c>
      <x:c r="D100" s="117" t="s">
        <x:v>77</x:v>
      </x:c>
      <x:c r="E100" s="114"/>
      <x:c r="F100" s="107" t="s">
        <x:v>74</x:v>
      </x:c>
      <x:c r="G100" s="105" t="s">
        <x:v>2552</x:v>
      </x:c>
      <x:c r="H100" s="104" t="s">
        <x:v>680</x:v>
      </x:c>
      <x:c r="I100" s="104" t="s">
        <x:v>2255</x:v>
      </x:c>
      <x:c r="J100" s="104" t="s">
        <x:v>680</x:v>
      </x:c>
      <x:c r="K100" s="105" t="s">
        <x:v>1906</x:v>
      </x:c>
      <x:c r="L100" s="104" t="s">
        <x:v>620</x:v>
      </x:c>
      <x:c r="M100" s="105" t="s">
        <x:v>2201</x:v>
      </x:c>
      <x:c r="N100" s="104" t="s">
        <x:v>2569</x:v>
      </x:c>
    </x:row>
    <x:row r="101" ht="14.5" customHeight="1">
      <x:c r="A101" s="108" t="s">
        <x:v>634</x:v>
      </x:c>
      <x:c r="B101" s="109" t="s">
        <x:v>635</x:v>
      </x:c>
      <x:c r="C101" s="109" t="s">
        <x:v>126</x:v>
      </x:c>
      <x:c r="D101" s="113" t="s">
        <x:v>86</x:v>
      </x:c>
      <x:c r="E101" s="115"/>
      <x:c r="F101" s="107" t="s">
        <x:v>74</x:v>
      </x:c>
      <x:c r="G101" s="109" t="s">
        <x:v>2552</x:v>
      </x:c>
      <x:c r="H101" s="108" t="s">
        <x:v>2484</x:v>
      </x:c>
      <x:c r="I101" s="108" t="s">
        <x:v>2570</x:v>
      </x:c>
      <x:c r="J101" s="108" t="s">
        <x:v>2485</x:v>
      </x:c>
      <x:c r="K101" s="109" t="s">
        <x:v>1912</x:v>
      </x:c>
      <x:c r="L101" s="108" t="s">
        <x:v>620</x:v>
      </x:c>
      <x:c r="M101" s="109" t="s">
        <x:v>2421</x:v>
      </x:c>
      <x:c r="N101" s="108" t="s">
        <x:v>2571</x:v>
      </x:c>
    </x:row>
    <x:row r="102" ht="14.5" customHeight="1">
      <x:c r="A102" s="104" t="s">
        <x:v>637</x:v>
      </x:c>
      <x:c r="B102" s="105" t="s">
        <x:v>638</x:v>
      </x:c>
      <x:c r="C102" s="105" t="s">
        <x:v>126</x:v>
      </x:c>
      <x:c r="D102" s="110" t="s">
        <x:v>77</x:v>
      </x:c>
      <x:c r="E102" s="114"/>
      <x:c r="F102" s="107" t="s">
        <x:v>74</x:v>
      </x:c>
      <x:c r="G102" s="105" t="s">
        <x:v>2552</x:v>
      </x:c>
      <x:c r="H102" s="104" t="s">
        <x:v>2572</x:v>
      </x:c>
      <x:c r="I102" s="104" t="s">
        <x:v>2573</x:v>
      </x:c>
      <x:c r="J102" s="104" t="s">
        <x:v>680</x:v>
      </x:c>
      <x:c r="K102" s="105" t="s">
        <x:v>1917</x:v>
      </x:c>
      <x:c r="L102" s="104" t="s">
        <x:v>620</x:v>
      </x:c>
      <x:c r="M102" s="105" t="s">
        <x:v>2251</x:v>
      </x:c>
      <x:c r="N102" s="104" t="s">
        <x:v>2574</x:v>
      </x:c>
    </x:row>
    <x:row r="103" ht="14.5" customHeight="1">
      <x:c r="A103" s="108" t="s">
        <x:v>640</x:v>
      </x:c>
      <x:c r="B103" s="109" t="s">
        <x:v>641</x:v>
      </x:c>
      <x:c r="C103" s="109" t="s">
        <x:v>126</x:v>
      </x:c>
      <x:c r="D103" s="113" t="s">
        <x:v>86</x:v>
      </x:c>
      <x:c r="E103" s="115"/>
      <x:c r="F103" s="107" t="s">
        <x:v>74</x:v>
      </x:c>
      <x:c r="G103" s="109" t="s">
        <x:v>2552</x:v>
      </x:c>
      <x:c r="H103" s="108" t="s">
        <x:v>2575</x:v>
      </x:c>
      <x:c r="I103" s="108" t="s">
        <x:v>2576</x:v>
      </x:c>
      <x:c r="J103" s="108" t="s">
        <x:v>2577</x:v>
      </x:c>
      <x:c r="K103" s="109" t="s">
        <x:v>1923</x:v>
      </x:c>
      <x:c r="L103" s="108" t="s">
        <x:v>620</x:v>
      </x:c>
      <x:c r="M103" s="109" t="s">
        <x:v>2421</x:v>
      </x:c>
      <x:c r="N103" s="109" t="s">
        <x:v>2578</x:v>
      </x:c>
    </x:row>
    <x:row r="104" ht="14.5" customHeight="1">
      <x:c r="A104" s="104" t="s">
        <x:v>642</x:v>
      </x:c>
      <x:c r="B104" s="105" t="s">
        <x:v>643</x:v>
      </x:c>
      <x:c r="C104" s="105" t="s">
        <x:v>126</x:v>
      </x:c>
      <x:c r="D104" s="113" t="s">
        <x:v>86</x:v>
      </x:c>
      <x:c r="E104" s="114"/>
      <x:c r="F104" s="107" t="s">
        <x:v>74</x:v>
      </x:c>
      <x:c r="G104" s="105" t="s">
        <x:v>2552</x:v>
      </x:c>
      <x:c r="H104" s="104" t="s">
        <x:v>2579</x:v>
      </x:c>
      <x:c r="I104" s="104" t="s">
        <x:v>2580</x:v>
      </x:c>
      <x:c r="J104" s="104" t="s">
        <x:v>2581</x:v>
      </x:c>
      <x:c r="K104" s="105" t="s">
        <x:v>1928</x:v>
      </x:c>
      <x:c r="L104" s="104" t="s">
        <x:v>620</x:v>
      </x:c>
      <x:c r="M104" s="105" t="s">
        <x:v>2192</x:v>
      </x:c>
      <x:c r="N104" s="104" t="s">
        <x:v>238</x:v>
      </x:c>
    </x:row>
    <x:row r="105" ht="14.5" customHeight="1">
      <x:c r="A105" s="108" t="s">
        <x:v>644</x:v>
      </x:c>
      <x:c r="B105" s="109" t="s">
        <x:v>645</x:v>
      </x:c>
      <x:c r="C105" s="109" t="s">
        <x:v>126</x:v>
      </x:c>
      <x:c r="D105" s="113" t="s">
        <x:v>86</x:v>
      </x:c>
      <x:c r="E105" s="115"/>
      <x:c r="F105" s="107" t="s">
        <x:v>74</x:v>
      </x:c>
      <x:c r="G105" s="109" t="s">
        <x:v>2552</x:v>
      </x:c>
      <x:c r="H105" s="108" t="s">
        <x:v>2582</x:v>
      </x:c>
      <x:c r="I105" s="108" t="s">
        <x:v>2583</x:v>
      </x:c>
      <x:c r="J105" s="108" t="s">
        <x:v>2584</x:v>
      </x:c>
      <x:c r="K105" s="108" t="s">
        <x:v>1933</x:v>
      </x:c>
      <x:c r="L105" s="108" t="s">
        <x:v>620</x:v>
      </x:c>
      <x:c r="M105" s="109" t="s">
        <x:v>2192</x:v>
      </x:c>
      <x:c r="N105" s="108" t="s">
        <x:v>238</x:v>
      </x:c>
    </x:row>
    <x:row r="106" ht="14.5" customHeight="1">
      <x:c r="A106" s="104" t="s">
        <x:v>646</x:v>
      </x:c>
      <x:c r="B106" s="105" t="s">
        <x:v>647</x:v>
      </x:c>
      <x:c r="C106" s="105" t="s">
        <x:v>126</x:v>
      </x:c>
      <x:c r="D106" s="110" t="s">
        <x:v>77</x:v>
      </x:c>
      <x:c r="E106" s="114"/>
      <x:c r="F106" s="116" t="s">
        <x:v>95</x:v>
      </x:c>
      <x:c r="G106" s="105" t="s">
        <x:v>2552</x:v>
      </x:c>
      <x:c r="H106" s="104" t="s">
        <x:v>680</x:v>
      </x:c>
      <x:c r="I106" s="104" t="s">
        <x:v>2255</x:v>
      </x:c>
      <x:c r="J106" s="104" t="s">
        <x:v>680</x:v>
      </x:c>
      <x:c r="K106" s="105" t="s">
        <x:v>1939</x:v>
      </x:c>
      <x:c r="L106" s="104" t="s">
        <x:v>620</x:v>
      </x:c>
      <x:c r="M106" s="105" t="s">
        <x:v>2585</x:v>
      </x:c>
      <x:c r="N106" s="104" t="s">
        <x:v>2586</x:v>
      </x:c>
    </x:row>
    <x:row r="107" ht="14.5" customHeight="1">
      <x:c r="A107" s="108" t="s">
        <x:v>649</x:v>
      </x:c>
      <x:c r="B107" s="109" t="s">
        <x:v>650</x:v>
      </x:c>
      <x:c r="C107" s="109" t="s">
        <x:v>126</x:v>
      </x:c>
      <x:c r="D107" s="110" t="s">
        <x:v>77</x:v>
      </x:c>
      <x:c r="E107" s="115"/>
      <x:c r="F107" s="111" t="s">
        <x:v>83</x:v>
      </x:c>
      <x:c r="G107" s="109" t="s">
        <x:v>2552</x:v>
      </x:c>
      <x:c r="H107" s="108" t="s">
        <x:v>680</x:v>
      </x:c>
      <x:c r="I107" s="108" t="s">
        <x:v>2255</x:v>
      </x:c>
      <x:c r="J107" s="108" t="s">
        <x:v>680</x:v>
      </x:c>
      <x:c r="K107" s="109" t="s">
        <x:v>1945</x:v>
      </x:c>
      <x:c r="L107" s="108" t="s">
        <x:v>620</x:v>
      </x:c>
      <x:c r="M107" s="109" t="s">
        <x:v>2201</x:v>
      </x:c>
      <x:c r="N107" s="108" t="s">
        <x:v>2587</x:v>
      </x:c>
    </x:row>
    <x:row r="108" ht="14.5" customHeight="1">
      <x:c r="A108" s="104" t="s">
        <x:v>652</x:v>
      </x:c>
      <x:c r="B108" s="105" t="s">
        <x:v>653</x:v>
      </x:c>
      <x:c r="C108" s="105" t="s">
        <x:v>130</x:v>
      </x:c>
      <x:c r="D108" s="113" t="s">
        <x:v>86</x:v>
      </x:c>
      <x:c r="E108" s="114"/>
      <x:c r="F108" s="107" t="s">
        <x:v>74</x:v>
      </x:c>
      <x:c r="G108" s="105" t="s">
        <x:v>2588</x:v>
      </x:c>
      <x:c r="H108" s="104" t="s">
        <x:v>680</x:v>
      </x:c>
      <x:c r="I108" s="104" t="s">
        <x:v>2589</x:v>
      </x:c>
      <x:c r="J108" s="104" t="s">
        <x:v>680</x:v>
      </x:c>
      <x:c r="K108" s="104" t="s">
        <x:v>1957</x:v>
      </x:c>
      <x:c r="L108" s="104" t="s">
        <x:v>655</x:v>
      </x:c>
      <x:c r="M108" s="105" t="s">
        <x:v>2482</x:v>
      </x:c>
      <x:c r="N108" s="104" t="s">
        <x:v>2590</x:v>
      </x:c>
    </x:row>
    <x:row r="109" ht="58" customHeight="1">
      <x:c r="A109" s="108" t="s">
        <x:v>656</x:v>
      </x:c>
      <x:c r="B109" s="109" t="s">
        <x:v>657</x:v>
      </x:c>
      <x:c r="C109" s="109" t="s">
        <x:v>130</x:v>
      </x:c>
      <x:c r="D109" s="113" t="s">
        <x:v>86</x:v>
      </x:c>
      <x:c r="E109" s="115"/>
      <x:c r="F109" s="107" t="s">
        <x:v>74</x:v>
      </x:c>
      <x:c r="G109" s="109" t="s">
        <x:v>2588</x:v>
      </x:c>
      <x:c r="H109" s="108" t="s">
        <x:v>2591</x:v>
      </x:c>
      <x:c r="I109" s="108" t="s">
        <x:v>2592</x:v>
      </x:c>
      <x:c r="J109" s="108" t="s">
        <x:v>680</x:v>
      </x:c>
      <x:c r="K109" s="109" t="s">
        <x:v>1962</x:v>
      </x:c>
      <x:c r="L109" s="108" t="s">
        <x:v>655</x:v>
      </x:c>
      <x:c r="M109" s="109" t="s">
        <x:v>2421</x:v>
      </x:c>
      <x:c r="N109" s="108" t="s">
        <x:v>2593</x:v>
      </x:c>
    </x:row>
    <x:row r="110" ht="14.5" customHeight="1">
      <x:c r="A110" s="104" t="s">
        <x:v>660</x:v>
      </x:c>
      <x:c r="B110" s="105" t="s">
        <x:v>661</x:v>
      </x:c>
      <x:c r="C110" s="105" t="s">
        <x:v>130</x:v>
      </x:c>
      <x:c r="D110" s="113" t="s">
        <x:v>86</x:v>
      </x:c>
      <x:c r="E110" s="114"/>
      <x:c r="F110" s="107" t="s">
        <x:v>74</x:v>
      </x:c>
      <x:c r="G110" s="105" t="s">
        <x:v>2588</x:v>
      </x:c>
      <x:c r="H110" s="104" t="s">
        <x:v>2594</x:v>
      </x:c>
      <x:c r="I110" s="104" t="s">
        <x:v>2595</x:v>
      </x:c>
      <x:c r="J110" s="104" t="s">
        <x:v>2596</x:v>
      </x:c>
      <x:c r="K110" s="105" t="s">
        <x:v>1969</x:v>
      </x:c>
      <x:c r="L110" s="104" t="s">
        <x:v>655</x:v>
      </x:c>
      <x:c r="M110" s="105" t="s">
        <x:v>2421</x:v>
      </x:c>
      <x:c r="N110" s="104" t="s">
        <x:v>2597</x:v>
      </x:c>
    </x:row>
    <x:row r="111" ht="14.5" customHeight="1">
      <x:c r="A111" s="108" t="s">
        <x:v>663</x:v>
      </x:c>
      <x:c r="B111" s="108" t="s">
        <x:v>664</x:v>
      </x:c>
      <x:c r="C111" s="109" t="s">
        <x:v>130</x:v>
      </x:c>
      <x:c r="D111" s="113" t="s">
        <x:v>86</x:v>
      </x:c>
      <x:c r="E111" s="115"/>
      <x:c r="F111" s="107" t="s">
        <x:v>74</x:v>
      </x:c>
      <x:c r="G111" s="109" t="s">
        <x:v>2588</x:v>
      </x:c>
      <x:c r="H111" s="108" t="s">
        <x:v>2598</x:v>
      </x:c>
      <x:c r="I111" s="108" t="s">
        <x:v>2599</x:v>
      </x:c>
      <x:c r="J111" s="108" t="s">
        <x:v>680</x:v>
      </x:c>
      <x:c r="K111" s="108" t="s">
        <x:v>1974</x:v>
      </x:c>
      <x:c r="L111" s="108" t="s">
        <x:v>655</x:v>
      </x:c>
      <x:c r="M111" s="109" t="s">
        <x:v>2482</x:v>
      </x:c>
      <x:c r="N111" s="109" t="s">
        <x:v>2600</x:v>
      </x:c>
    </x:row>
    <x:row r="112" ht="14.5" customHeight="1">
      <x:c r="A112" s="104" t="s">
        <x:v>666</x:v>
      </x:c>
      <x:c r="B112" s="105" t="s">
        <x:v>667</x:v>
      </x:c>
      <x:c r="C112" s="105" t="s">
        <x:v>130</x:v>
      </x:c>
      <x:c r="D112" s="113" t="s">
        <x:v>86</x:v>
      </x:c>
      <x:c r="E112" s="114"/>
      <x:c r="F112" s="107" t="s">
        <x:v>74</x:v>
      </x:c>
      <x:c r="G112" s="105" t="s">
        <x:v>2588</x:v>
      </x:c>
      <x:c r="H112" s="104" t="s">
        <x:v>2601</x:v>
      </x:c>
      <x:c r="I112" s="104" t="s">
        <x:v>2570</x:v>
      </x:c>
      <x:c r="J112" s="104" t="s">
        <x:v>2602</x:v>
      </x:c>
      <x:c r="K112" s="105" t="s">
        <x:v>1979</x:v>
      </x:c>
      <x:c r="L112" s="104" t="s">
        <x:v>655</x:v>
      </x:c>
      <x:c r="M112" s="105" t="s">
        <x:v>2192</x:v>
      </x:c>
      <x:c r="N112" s="104" t="s">
        <x:v>2603</x:v>
      </x:c>
    </x:row>
    <x:row r="113" ht="29.049999237060547" customHeight="1">
      <x:c r="A113" s="108" t="s">
        <x:v>669</x:v>
      </x:c>
      <x:c r="B113" s="109" t="s">
        <x:v>670</x:v>
      </x:c>
      <x:c r="C113" s="109" t="s">
        <x:v>130</x:v>
      </x:c>
      <x:c r="D113" s="113" t="s">
        <x:v>86</x:v>
      </x:c>
      <x:c r="E113" s="115"/>
      <x:c r="F113" s="107" t="s">
        <x:v>74</x:v>
      </x:c>
      <x:c r="G113" s="109" t="s">
        <x:v>2588</x:v>
      </x:c>
      <x:c r="H113" s="108" t="s">
        <x:v>2604</x:v>
      </x:c>
      <x:c r="I113" s="108" t="s">
        <x:v>2605</x:v>
      </x:c>
      <x:c r="J113" s="108" t="s">
        <x:v>2606</x:v>
      </x:c>
      <x:c r="K113" s="109" t="s">
        <x:v>1984</x:v>
      </x:c>
      <x:c r="L113" s="108" t="s">
        <x:v>655</x:v>
      </x:c>
      <x:c r="M113" s="109" t="s">
        <x:v>2192</x:v>
      </x:c>
      <x:c r="N113" s="108" t="s">
        <x:v>2607</x:v>
      </x:c>
    </x:row>
    <x:row r="114" ht="14.5" customHeight="1">
      <x:c r="A114" s="104" t="s">
        <x:v>673</x:v>
      </x:c>
      <x:c r="B114" s="105" t="s">
        <x:v>674</x:v>
      </x:c>
      <x:c r="C114" s="105" t="s">
        <x:v>130</x:v>
      </x:c>
      <x:c r="D114" s="113" t="s">
        <x:v>86</x:v>
      </x:c>
      <x:c r="E114" s="114"/>
      <x:c r="F114" s="111" t="s">
        <x:v>83</x:v>
      </x:c>
      <x:c r="G114" s="105" t="s">
        <x:v>2588</x:v>
      </x:c>
      <x:c r="H114" s="104" t="s">
        <x:v>2608</x:v>
      </x:c>
      <x:c r="I114" s="104" t="s">
        <x:v>2609</x:v>
      </x:c>
      <x:c r="J114" s="104" t="s">
        <x:v>680</x:v>
      </x:c>
      <x:c r="K114" s="104" t="s">
        <x:v>1989</x:v>
      </x:c>
      <x:c r="L114" s="104" t="s">
        <x:v>655</x:v>
      </x:c>
      <x:c r="M114" s="105" t="s">
        <x:v>2482</x:v>
      </x:c>
      <x:c r="N114" s="104" t="s">
        <x:v>2610</x:v>
      </x:c>
    </x:row>
    <x:row r="115" ht="14.5" customHeight="1">
      <x:c r="A115" s="108" t="s">
        <x:v>675</x:v>
      </x:c>
      <x:c r="B115" s="109" t="s">
        <x:v>676</x:v>
      </x:c>
      <x:c r="C115" s="109" t="s">
        <x:v>130</x:v>
      </x:c>
      <x:c r="D115" s="113" t="s">
        <x:v>86</x:v>
      </x:c>
      <x:c r="E115" s="115"/>
      <x:c r="F115" s="107" t="s">
        <x:v>74</x:v>
      </x:c>
      <x:c r="G115" s="109" t="s">
        <x:v>2588</x:v>
      </x:c>
      <x:c r="H115" s="108" t="s">
        <x:v>680</x:v>
      </x:c>
      <x:c r="I115" s="108" t="s">
        <x:v>2481</x:v>
      </x:c>
      <x:c r="J115" s="108" t="s">
        <x:v>680</x:v>
      </x:c>
      <x:c r="K115" s="109" t="s">
        <x:v>1994</x:v>
      </x:c>
      <x:c r="L115" s="108" t="s">
        <x:v>655</x:v>
      </x:c>
      <x:c r="M115" s="109" t="s">
        <x:v>2482</x:v>
      </x:c>
      <x:c r="N115" s="108" t="s">
        <x:v>2611</x:v>
      </x:c>
    </x:row>
    <x:row r="116" ht="14.5" customHeight="1">
      <x:c r="A116" s="104" t="s">
        <x:v>678</x:v>
      </x:c>
      <x:c r="B116" s="105" t="s">
        <x:v>679</x:v>
      </x:c>
      <x:c r="C116" s="105" t="s">
        <x:v>132</x:v>
      </x:c>
      <x:c r="D116" s="113" t="s">
        <x:v>86</x:v>
      </x:c>
      <x:c r="E116" s="114"/>
      <x:c r="F116" s="107" t="s">
        <x:v>74</x:v>
      </x:c>
      <x:c r="G116" s="105" t="s">
        <x:v>2612</x:v>
      </x:c>
      <x:c r="H116" s="104" t="s">
        <x:v>680</x:v>
      </x:c>
      <x:c r="I116" s="104" t="s">
        <x:v>2255</x:v>
      </x:c>
      <x:c r="J116" s="104" t="s">
        <x:v>680</x:v>
      </x:c>
      <x:c r="K116" s="105" t="s">
        <x:v>1999</x:v>
      </x:c>
      <x:c r="L116" s="104" t="s">
        <x:v>681</x:v>
      </x:c>
      <x:c r="M116" s="105" t="s">
        <x:v>2482</x:v>
      </x:c>
      <x:c r="N116" s="104" t="s">
        <x:v>2613</x:v>
      </x:c>
    </x:row>
    <x:row r="117" ht="14.5" customHeight="1">
      <x:c r="A117" s="108" t="s">
        <x:v>682</x:v>
      </x:c>
      <x:c r="B117" s="108" t="s">
        <x:v>683</x:v>
      </x:c>
      <x:c r="C117" s="109" t="s">
        <x:v>132</x:v>
      </x:c>
      <x:c r="D117" s="113" t="s">
        <x:v>86</x:v>
      </x:c>
      <x:c r="E117" s="115"/>
      <x:c r="F117" s="107" t="s">
        <x:v>74</x:v>
      </x:c>
      <x:c r="G117" s="109" t="s">
        <x:v>2612</x:v>
      </x:c>
      <x:c r="H117" s="108" t="s">
        <x:v>680</x:v>
      </x:c>
      <x:c r="I117" s="108" t="s">
        <x:v>2255</x:v>
      </x:c>
      <x:c r="J117" s="108" t="s">
        <x:v>680</x:v>
      </x:c>
      <x:c r="K117" s="109" t="s">
        <x:v>2005</x:v>
      </x:c>
      <x:c r="L117" s="108" t="s">
        <x:v>681</x:v>
      </x:c>
      <x:c r="M117" s="109" t="s">
        <x:v>2482</x:v>
      </x:c>
      <x:c r="N117" s="108" t="s">
        <x:v>251</x:v>
      </x:c>
    </x:row>
    <x:row r="118" ht="14.5" customHeight="1">
      <x:c r="A118" s="104" t="s">
        <x:v>684</x:v>
      </x:c>
      <x:c r="B118" s="105" t="s">
        <x:v>685</x:v>
      </x:c>
      <x:c r="C118" s="105" t="s">
        <x:v>132</x:v>
      </x:c>
      <x:c r="D118" s="113" t="s">
        <x:v>86</x:v>
      </x:c>
      <x:c r="E118" s="114"/>
      <x:c r="F118" s="107" t="s">
        <x:v>74</x:v>
      </x:c>
      <x:c r="G118" s="105" t="s">
        <x:v>2612</x:v>
      </x:c>
      <x:c r="H118" s="104" t="s">
        <x:v>680</x:v>
      </x:c>
      <x:c r="I118" s="104" t="s">
        <x:v>2255</x:v>
      </x:c>
      <x:c r="J118" s="104" t="s">
        <x:v>680</x:v>
      </x:c>
      <x:c r="K118" s="105" t="s">
        <x:v>2010</x:v>
      </x:c>
      <x:c r="L118" s="104" t="s">
        <x:v>681</x:v>
      </x:c>
      <x:c r="M118" s="105" t="s">
        <x:v>2482</x:v>
      </x:c>
      <x:c r="N118" s="104" t="s">
        <x:v>251</x:v>
      </x:c>
    </x:row>
    <x:row r="119" ht="14.5" customHeight="1">
      <x:c r="A119" s="108" t="s">
        <x:v>686</x:v>
      </x:c>
      <x:c r="B119" s="109" t="s">
        <x:v>687</x:v>
      </x:c>
      <x:c r="C119" s="109" t="s">
        <x:v>132</x:v>
      </x:c>
      <x:c r="D119" s="113" t="s">
        <x:v>86</x:v>
      </x:c>
      <x:c r="E119" s="115"/>
      <x:c r="F119" s="107" t="s">
        <x:v>74</x:v>
      </x:c>
      <x:c r="G119" s="109" t="s">
        <x:v>2612</x:v>
      </x:c>
      <x:c r="H119" s="108" t="s">
        <x:v>2614</x:v>
      </x:c>
      <x:c r="I119" s="108" t="s">
        <x:v>2255</x:v>
      </x:c>
      <x:c r="J119" s="108" t="s">
        <x:v>2615</x:v>
      </x:c>
      <x:c r="K119" s="109" t="s">
        <x:v>2015</x:v>
      </x:c>
      <x:c r="L119" s="108" t="s">
        <x:v>681</x:v>
      </x:c>
      <x:c r="M119" s="109" t="s">
        <x:v>2192</x:v>
      </x:c>
      <x:c r="N119" s="108" t="s">
        <x:v>2616</x:v>
      </x:c>
    </x:row>
    <x:row r="120" ht="14.5" customHeight="1">
      <x:c r="A120" s="104" t="s">
        <x:v>688</x:v>
      </x:c>
      <x:c r="B120" s="105" t="s">
        <x:v>689</x:v>
      </x:c>
      <x:c r="C120" s="105" t="s">
        <x:v>132</x:v>
      </x:c>
      <x:c r="D120" s="113" t="s">
        <x:v>86</x:v>
      </x:c>
      <x:c r="E120" s="114"/>
      <x:c r="F120" s="107" t="s">
        <x:v>74</x:v>
      </x:c>
      <x:c r="G120" s="105" t="s">
        <x:v>2612</x:v>
      </x:c>
      <x:c r="H120" s="104" t="s">
        <x:v>2617</x:v>
      </x:c>
      <x:c r="I120" s="104" t="s">
        <x:v>2255</x:v>
      </x:c>
      <x:c r="J120" s="104" t="s">
        <x:v>680</x:v>
      </x:c>
      <x:c r="K120" s="105" t="s">
        <x:v>2021</x:v>
      </x:c>
      <x:c r="L120" s="104" t="s">
        <x:v>681</x:v>
      </x:c>
      <x:c r="M120" s="105" t="s">
        <x:v>2482</x:v>
      </x:c>
      <x:c r="N120" s="104" t="s">
        <x:v>251</x:v>
      </x:c>
    </x:row>
    <x:row r="121" ht="14.5" customHeight="1">
      <x:c r="A121" s="108" t="s">
        <x:v>691</x:v>
      </x:c>
      <x:c r="B121" s="109" t="s">
        <x:v>692</x:v>
      </x:c>
      <x:c r="C121" s="109" t="s">
        <x:v>132</x:v>
      </x:c>
      <x:c r="D121" s="113" t="s">
        <x:v>86</x:v>
      </x:c>
      <x:c r="E121" s="115"/>
      <x:c r="F121" s="107" t="s">
        <x:v>74</x:v>
      </x:c>
      <x:c r="G121" s="109" t="s">
        <x:v>2612</x:v>
      </x:c>
      <x:c r="H121" s="108" t="s">
        <x:v>2618</x:v>
      </x:c>
      <x:c r="I121" s="108" t="s">
        <x:v>2255</x:v>
      </x:c>
      <x:c r="J121" s="108" t="s">
        <x:v>680</x:v>
      </x:c>
      <x:c r="K121" s="109" t="s">
        <x:v>2027</x:v>
      </x:c>
      <x:c r="L121" s="108" t="s">
        <x:v>681</x:v>
      </x:c>
      <x:c r="M121" s="109" t="s">
        <x:v>2482</x:v>
      </x:c>
      <x:c r="N121" s="108" t="s">
        <x:v>2619</x:v>
      </x:c>
    </x:row>
    <x:row r="122" ht="43.5" customHeight="1">
      <x:c r="A122" s="104" t="s">
        <x:v>694</x:v>
      </x:c>
      <x:c r="B122" s="104" t="s">
        <x:v>695</x:v>
      </x:c>
      <x:c r="C122" s="105" t="s">
        <x:v>132</x:v>
      </x:c>
      <x:c r="D122" s="113" t="s">
        <x:v>86</x:v>
      </x:c>
      <x:c r="E122" s="114"/>
      <x:c r="F122" s="107" t="s">
        <x:v>74</x:v>
      </x:c>
      <x:c r="G122" s="105" t="s">
        <x:v>2612</x:v>
      </x:c>
      <x:c r="H122" s="104" t="s">
        <x:v>680</x:v>
      </x:c>
      <x:c r="I122" s="104" t="s">
        <x:v>2255</x:v>
      </x:c>
      <x:c r="J122" s="104" t="s">
        <x:v>680</x:v>
      </x:c>
      <x:c r="K122" s="104" t="s">
        <x:v>2033</x:v>
      </x:c>
      <x:c r="L122" s="104" t="s">
        <x:v>681</x:v>
      </x:c>
      <x:c r="M122" s="105" t="s">
        <x:v>2482</x:v>
      </x:c>
      <x:c r="N122" s="104" t="s">
        <x:v>2620</x:v>
      </x:c>
    </x:row>
    <x:row r="123" ht="14.5" customHeight="1">
      <x:c r="A123" s="108" t="s">
        <x:v>697</x:v>
      </x:c>
      <x:c r="B123" s="109" t="s">
        <x:v>698</x:v>
      </x:c>
      <x:c r="C123" s="109" t="s">
        <x:v>132</x:v>
      </x:c>
      <x:c r="D123" s="113" t="s">
        <x:v>86</x:v>
      </x:c>
      <x:c r="E123" s="115"/>
      <x:c r="F123" s="107" t="s">
        <x:v>74</x:v>
      </x:c>
      <x:c r="G123" s="109" t="s">
        <x:v>2612</x:v>
      </x:c>
      <x:c r="H123" s="108" t="s">
        <x:v>680</x:v>
      </x:c>
      <x:c r="I123" s="108" t="s">
        <x:v>2255</x:v>
      </x:c>
      <x:c r="J123" s="108" t="s">
        <x:v>680</x:v>
      </x:c>
      <x:c r="K123" s="109" t="s">
        <x:v>2039</x:v>
      </x:c>
      <x:c r="L123" s="108" t="s">
        <x:v>681</x:v>
      </x:c>
      <x:c r="M123" s="109" t="s">
        <x:v>2482</x:v>
      </x:c>
      <x:c r="N123" s="108" t="s">
        <x:v>2621</x:v>
      </x:c>
    </x:row>
    <x:row r="124" ht="14.5" customHeight="1">
      <x:c r="A124" s="104" t="s">
        <x:v>700</x:v>
      </x:c>
      <x:c r="B124" s="105" t="s">
        <x:v>701</x:v>
      </x:c>
      <x:c r="C124" s="105" t="s">
        <x:v>132</x:v>
      </x:c>
      <x:c r="D124" s="113" t="s">
        <x:v>86</x:v>
      </x:c>
      <x:c r="E124" s="114"/>
      <x:c r="F124" s="107" t="s">
        <x:v>74</x:v>
      </x:c>
      <x:c r="G124" s="105" t="s">
        <x:v>2612</x:v>
      </x:c>
      <x:c r="H124" s="104" t="s">
        <x:v>2622</x:v>
      </x:c>
      <x:c r="I124" s="104" t="s">
        <x:v>2255</x:v>
      </x:c>
      <x:c r="J124" s="104" t="s">
        <x:v>680</x:v>
      </x:c>
      <x:c r="K124" s="105" t="s">
        <x:v>2044</x:v>
      </x:c>
      <x:c r="L124" s="104" t="s">
        <x:v>681</x:v>
      </x:c>
      <x:c r="M124" s="105" t="s">
        <x:v>2482</x:v>
      </x:c>
      <x:c r="N124" s="104" t="s">
        <x:v>251</x:v>
      </x:c>
    </x:row>
    <x:row r="125" ht="14.5" customHeight="1">
      <x:c r="A125" s="108" t="s">
        <x:v>704</x:v>
      </x:c>
      <x:c r="B125" s="109" t="s">
        <x:v>705</x:v>
      </x:c>
      <x:c r="C125" s="109" t="s">
        <x:v>134</x:v>
      </x:c>
      <x:c r="D125" s="113" t="s">
        <x:v>86</x:v>
      </x:c>
      <x:c r="E125" s="115"/>
      <x:c r="F125" s="107" t="s">
        <x:v>74</x:v>
      </x:c>
      <x:c r="G125" s="109" t="s">
        <x:v>2623</x:v>
      </x:c>
      <x:c r="H125" s="108" t="s">
        <x:v>2624</x:v>
      </x:c>
      <x:c r="I125" s="108" t="s">
        <x:v>2625</x:v>
      </x:c>
      <x:c r="J125" s="108" t="s">
        <x:v>2626</x:v>
      </x:c>
      <x:c r="K125" s="109" t="s">
        <x:v>2056</x:v>
      </x:c>
      <x:c r="L125" s="108" t="s">
        <x:v>706</x:v>
      </x:c>
      <x:c r="M125" s="109" t="s">
        <x:v>2192</x:v>
      </x:c>
      <x:c r="N125" s="108" t="s">
        <x:v>2627</x:v>
      </x:c>
    </x:row>
    <x:row r="126" ht="14.5" customHeight="1">
      <x:c r="A126" s="104" t="s">
        <x:v>707</x:v>
      </x:c>
      <x:c r="B126" s="105" t="s">
        <x:v>708</x:v>
      </x:c>
      <x:c r="C126" s="105" t="s">
        <x:v>134</x:v>
      </x:c>
      <x:c r="D126" s="113" t="s">
        <x:v>86</x:v>
      </x:c>
      <x:c r="E126" s="114"/>
      <x:c r="F126" s="107" t="s">
        <x:v>74</x:v>
      </x:c>
      <x:c r="G126" s="105" t="s">
        <x:v>2623</x:v>
      </x:c>
      <x:c r="H126" s="104" t="s">
        <x:v>2628</x:v>
      </x:c>
      <x:c r="I126" s="104" t="s">
        <x:v>2255</x:v>
      </x:c>
      <x:c r="J126" s="104" t="s">
        <x:v>2629</x:v>
      </x:c>
      <x:c r="K126" s="105" t="s">
        <x:v>2062</x:v>
      </x:c>
      <x:c r="L126" s="104" t="s">
        <x:v>706</x:v>
      </x:c>
      <x:c r="M126" s="105" t="s">
        <x:v>2192</x:v>
      </x:c>
      <x:c r="N126" s="104" t="s">
        <x:v>2630</x:v>
      </x:c>
    </x:row>
    <x:row r="127" ht="28" customHeight="1">
      <x:c r="A127" s="108" t="s">
        <x:v>710</x:v>
      </x:c>
      <x:c r="B127" s="109" t="s">
        <x:v>711</x:v>
      </x:c>
      <x:c r="C127" s="109" t="s">
        <x:v>134</x:v>
      </x:c>
      <x:c r="D127" s="110" t="s">
        <x:v>77</x:v>
      </x:c>
      <x:c r="E127" s="115"/>
      <x:c r="F127" s="107" t="s">
        <x:v>74</x:v>
      </x:c>
      <x:c r="G127" s="109" t="s">
        <x:v>2623</x:v>
      </x:c>
      <x:c r="H127" s="108" t="s">
        <x:v>2631</x:v>
      </x:c>
      <x:c r="I127" s="108" t="s">
        <x:v>2255</x:v>
      </x:c>
      <x:c r="J127" s="108" t="s">
        <x:v>2632</x:v>
      </x:c>
      <x:c r="K127" s="109" t="s">
        <x:v>2068</x:v>
      </x:c>
      <x:c r="L127" s="108" t="s">
        <x:v>706</x:v>
      </x:c>
      <x:c r="M127" s="109" t="s">
        <x:v>2251</x:v>
      </x:c>
      <x:c r="N127" s="108" t="s">
        <x:v>2633</x:v>
      </x:c>
    </x:row>
    <x:row r="128" ht="14.5" customHeight="1">
      <x:c r="A128" s="104" t="s">
        <x:v>713</x:v>
      </x:c>
      <x:c r="B128" s="105" t="s">
        <x:v>714</x:v>
      </x:c>
      <x:c r="C128" s="105" t="s">
        <x:v>134</x:v>
      </x:c>
      <x:c r="D128" s="110" t="s">
        <x:v>77</x:v>
      </x:c>
      <x:c r="E128" s="114"/>
      <x:c r="F128" s="107" t="s">
        <x:v>74</x:v>
      </x:c>
      <x:c r="G128" s="105" t="s">
        <x:v>2623</x:v>
      </x:c>
      <x:c r="H128" s="104" t="s">
        <x:v>2634</x:v>
      </x:c>
      <x:c r="I128" s="104" t="s">
        <x:v>2255</x:v>
      </x:c>
      <x:c r="J128" s="104" t="s">
        <x:v>680</x:v>
      </x:c>
      <x:c r="K128" s="105" t="s">
        <x:v>2075</x:v>
      </x:c>
      <x:c r="L128" s="104" t="s">
        <x:v>706</x:v>
      </x:c>
      <x:c r="M128" s="105" t="s">
        <x:v>2251</x:v>
      </x:c>
      <x:c r="N128" s="104" t="s">
        <x:v>2635</x:v>
      </x:c>
    </x:row>
    <x:row r="129" ht="29.049999237060547" customHeight="1">
      <x:c r="A129" s="108" t="s">
        <x:v>715</x:v>
      </x:c>
      <x:c r="B129" s="109" t="s">
        <x:v>716</x:v>
      </x:c>
      <x:c r="C129" s="109" t="s">
        <x:v>136</x:v>
      </x:c>
      <x:c r="D129" s="113" t="s">
        <x:v>86</x:v>
      </x:c>
      <x:c r="E129" s="115"/>
      <x:c r="F129" s="107" t="s">
        <x:v>74</x:v>
      </x:c>
      <x:c r="G129" s="109" t="s">
        <x:v>2636</x:v>
      </x:c>
      <x:c r="H129" s="108" t="s">
        <x:v>680</x:v>
      </x:c>
      <x:c r="I129" s="108" t="s">
        <x:v>2637</x:v>
      </x:c>
      <x:c r="J129" s="108" t="s">
        <x:v>680</x:v>
      </x:c>
      <x:c r="K129" s="109" t="s">
        <x:v>2080</x:v>
      </x:c>
      <x:c r="L129" s="108" t="s">
        <x:v>719</x:v>
      </x:c>
      <x:c r="M129" s="109" t="s">
        <x:v>2482</x:v>
      </x:c>
      <x:c r="N129" s="108" t="s">
        <x:v>2638</x:v>
      </x:c>
    </x:row>
    <x:row r="130" ht="28" customHeight="1">
      <x:c r="A130" s="104" t="s">
        <x:v>721</x:v>
      </x:c>
      <x:c r="B130" s="104" t="s">
        <x:v>722</x:v>
      </x:c>
      <x:c r="C130" s="105" t="s">
        <x:v>136</x:v>
      </x:c>
      <x:c r="D130" s="113" t="s">
        <x:v>86</x:v>
      </x:c>
      <x:c r="E130" s="114"/>
      <x:c r="F130" s="107" t="s">
        <x:v>74</x:v>
      </x:c>
      <x:c r="G130" s="105" t="s">
        <x:v>2636</x:v>
      </x:c>
      <x:c r="H130" s="104" t="s">
        <x:v>2639</x:v>
      </x:c>
      <x:c r="I130" s="104" t="s">
        <x:v>2640</x:v>
      </x:c>
      <x:c r="J130" s="104" t="s">
        <x:v>680</x:v>
      </x:c>
      <x:c r="K130" s="104" t="s">
        <x:v>2086</x:v>
      </x:c>
      <x:c r="L130" s="104" t="s">
        <x:v>719</x:v>
      </x:c>
      <x:c r="M130" s="105" t="s">
        <x:v>2482</x:v>
      </x:c>
      <x:c r="N130" s="105" t="s">
        <x:v>2641</x:v>
      </x:c>
    </x:row>
    <x:row r="131" ht="14.5" customHeight="1">
      <x:c r="A131" s="108" t="s">
        <x:v>724</x:v>
      </x:c>
      <x:c r="B131" s="109" t="s">
        <x:v>725</x:v>
      </x:c>
      <x:c r="C131" s="109" t="s">
        <x:v>136</x:v>
      </x:c>
      <x:c r="D131" s="113" t="s">
        <x:v>86</x:v>
      </x:c>
      <x:c r="E131" s="115"/>
      <x:c r="F131" s="107" t="s">
        <x:v>74</x:v>
      </x:c>
      <x:c r="G131" s="109" t="s">
        <x:v>2636</x:v>
      </x:c>
      <x:c r="H131" s="108" t="s">
        <x:v>2642</x:v>
      </x:c>
      <x:c r="I131" s="108" t="s">
        <x:v>2643</x:v>
      </x:c>
      <x:c r="J131" s="108" t="s">
        <x:v>680</x:v>
      </x:c>
      <x:c r="K131" s="109" t="s">
        <x:v>2092</x:v>
      </x:c>
      <x:c r="L131" s="108" t="s">
        <x:v>719</x:v>
      </x:c>
      <x:c r="M131" s="109" t="s">
        <x:v>2482</x:v>
      </x:c>
      <x:c r="N131" s="109" t="s">
        <x:v>566</x:v>
      </x:c>
    </x:row>
    <x:row r="132" ht="14.5" customHeight="1">
      <x:c r="A132" s="104" t="s">
        <x:v>726</x:v>
      </x:c>
      <x:c r="B132" s="104" t="s">
        <x:v>727</x:v>
      </x:c>
      <x:c r="C132" s="105" t="s">
        <x:v>136</x:v>
      </x:c>
      <x:c r="D132" s="113" t="s">
        <x:v>86</x:v>
      </x:c>
      <x:c r="E132" s="114"/>
      <x:c r="F132" s="107" t="s">
        <x:v>74</x:v>
      </x:c>
      <x:c r="G132" s="105" t="s">
        <x:v>2636</x:v>
      </x:c>
      <x:c r="H132" s="104" t="s">
        <x:v>2644</x:v>
      </x:c>
      <x:c r="I132" s="104" t="s">
        <x:v>2506</x:v>
      </x:c>
      <x:c r="J132" s="104" t="s">
        <x:v>680</x:v>
      </x:c>
      <x:c r="K132" s="105" t="s">
        <x:v>2098</x:v>
      </x:c>
      <x:c r="L132" s="104" t="s">
        <x:v>719</x:v>
      </x:c>
      <x:c r="M132" s="105" t="s">
        <x:v>2482</x:v>
      </x:c>
      <x:c r="N132" s="105" t="s">
        <x:v>566</x:v>
      </x:c>
    </x:row>
    <x:row r="133" ht="14.5" customHeight="1">
      <x:c r="A133" s="108" t="s">
        <x:v>729</x:v>
      </x:c>
      <x:c r="B133" s="108" t="s">
        <x:v>730</x:v>
      </x:c>
      <x:c r="C133" s="109" t="s">
        <x:v>136</x:v>
      </x:c>
      <x:c r="D133" s="113" t="s">
        <x:v>86</x:v>
      </x:c>
      <x:c r="E133" s="115"/>
      <x:c r="F133" s="107" t="s">
        <x:v>74</x:v>
      </x:c>
      <x:c r="G133" s="109" t="s">
        <x:v>2636</x:v>
      </x:c>
      <x:c r="H133" s="108" t="s">
        <x:v>2645</x:v>
      </x:c>
      <x:c r="I133" s="108" t="s">
        <x:v>2506</x:v>
      </x:c>
      <x:c r="J133" s="108" t="s">
        <x:v>680</x:v>
      </x:c>
      <x:c r="K133" s="109" t="s">
        <x:v>2104</x:v>
      </x:c>
      <x:c r="L133" s="108" t="s">
        <x:v>719</x:v>
      </x:c>
      <x:c r="M133" s="109" t="s">
        <x:v>2482</x:v>
      </x:c>
      <x:c r="N133" s="109" t="s">
        <x:v>566</x:v>
      </x:c>
    </x:row>
    <x:row r="134" ht="14.5" customHeight="1">
      <x:c r="A134" s="104" t="s">
        <x:v>731</x:v>
      </x:c>
      <x:c r="B134" s="105" t="s">
        <x:v>732</x:v>
      </x:c>
      <x:c r="C134" s="105" t="s">
        <x:v>136</x:v>
      </x:c>
      <x:c r="D134" s="113" t="s">
        <x:v>86</x:v>
      </x:c>
      <x:c r="E134" s="114"/>
      <x:c r="F134" s="107" t="s">
        <x:v>74</x:v>
      </x:c>
      <x:c r="G134" s="105" t="s">
        <x:v>2636</x:v>
      </x:c>
      <x:c r="H134" s="104" t="s">
        <x:v>680</x:v>
      </x:c>
      <x:c r="I134" s="104" t="s">
        <x:v>2646</x:v>
      </x:c>
      <x:c r="J134" s="104" t="s">
        <x:v>680</x:v>
      </x:c>
      <x:c r="K134" s="105" t="s">
        <x:v>2110</x:v>
      </x:c>
      <x:c r="L134" s="104" t="s">
        <x:v>719</x:v>
      </x:c>
      <x:c r="M134" s="105" t="s">
        <x:v>2482</x:v>
      </x:c>
      <x:c r="N134" s="104" t="s">
        <x:v>238</x:v>
      </x:c>
    </x:row>
    <x:row r="135" ht="42" customHeight="1">
      <x:c r="A135" s="108" t="s">
        <x:v>733</x:v>
      </x:c>
      <x:c r="B135" s="109" t="s">
        <x:v>734</x:v>
      </x:c>
      <x:c r="C135" s="109" t="s">
        <x:v>136</x:v>
      </x:c>
      <x:c r="D135" s="113" t="s">
        <x:v>86</x:v>
      </x:c>
      <x:c r="E135" s="115"/>
      <x:c r="F135" s="107" t="s">
        <x:v>74</x:v>
      </x:c>
      <x:c r="G135" s="109" t="s">
        <x:v>2636</x:v>
      </x:c>
      <x:c r="H135" s="108" t="s">
        <x:v>680</x:v>
      </x:c>
      <x:c r="I135" s="108" t="s">
        <x:v>2646</x:v>
      </x:c>
      <x:c r="J135" s="108" t="s">
        <x:v>680</x:v>
      </x:c>
      <x:c r="K135" s="108" t="s">
        <x:v>2116</x:v>
      </x:c>
      <x:c r="L135" s="108" t="s">
        <x:v>719</x:v>
      </x:c>
      <x:c r="M135" s="109" t="s">
        <x:v>2482</x:v>
      </x:c>
      <x:c r="N135" s="109" t="s">
        <x:v>2647</x:v>
      </x:c>
    </x:row>
    <x:row r="136" ht="14.5" customHeight="1">
      <x:c r="A136" s="104" t="s">
        <x:v>737</x:v>
      </x:c>
      <x:c r="B136" s="105" t="s">
        <x:v>738</x:v>
      </x:c>
      <x:c r="C136" s="105" t="s">
        <x:v>136</x:v>
      </x:c>
      <x:c r="D136" s="113" t="s">
        <x:v>86</x:v>
      </x:c>
      <x:c r="E136" s="114"/>
      <x:c r="F136" s="107" t="s">
        <x:v>74</x:v>
      </x:c>
      <x:c r="G136" s="105" t="s">
        <x:v>2636</x:v>
      </x:c>
      <x:c r="H136" s="104" t="s">
        <x:v>680</x:v>
      </x:c>
      <x:c r="I136" s="104" t="s">
        <x:v>2648</x:v>
      </x:c>
      <x:c r="J136" s="104" t="s">
        <x:v>680</x:v>
      </x:c>
      <x:c r="K136" s="105" t="s">
        <x:v>2122</x:v>
      </x:c>
      <x:c r="L136" s="104" t="s">
        <x:v>719</x:v>
      </x:c>
      <x:c r="M136" s="105" t="s">
        <x:v>2482</x:v>
      </x:c>
      <x:c r="N136" s="104" t="s">
        <x:v>438</x:v>
      </x:c>
    </x:row>
    <x:row r="137" ht="14.5" customHeight="1">
      <x:c r="A137" s="108" t="s">
        <x:v>739</x:v>
      </x:c>
      <x:c r="B137" s="109" t="s">
        <x:v>740</x:v>
      </x:c>
      <x:c r="C137" s="109" t="s">
        <x:v>136</x:v>
      </x:c>
      <x:c r="D137" s="113" t="s">
        <x:v>86</x:v>
      </x:c>
      <x:c r="E137" s="115"/>
      <x:c r="F137" s="107" t="s">
        <x:v>74</x:v>
      </x:c>
      <x:c r="G137" s="109" t="s">
        <x:v>2636</x:v>
      </x:c>
      <x:c r="H137" s="108" t="s">
        <x:v>2649</x:v>
      </x:c>
      <x:c r="I137" s="108" t="s">
        <x:v>2518</x:v>
      </x:c>
      <x:c r="J137" s="108" t="s">
        <x:v>680</x:v>
      </x:c>
      <x:c r="K137" s="109" t="s">
        <x:v>2127</x:v>
      </x:c>
      <x:c r="L137" s="108" t="s">
        <x:v>719</x:v>
      </x:c>
      <x:c r="M137" s="109" t="s">
        <x:v>2482</x:v>
      </x:c>
      <x:c r="N137" s="108" t="s">
        <x:v>238</x:v>
      </x:c>
    </x:row>
    <x:row r="138" ht="14.5" customHeight="1">
      <x:c r="A138" s="104" t="s">
        <x:v>742</x:v>
      </x:c>
      <x:c r="B138" s="105" t="s">
        <x:v>743</x:v>
      </x:c>
      <x:c r="C138" s="105" t="s">
        <x:v>136</x:v>
      </x:c>
      <x:c r="D138" s="113" t="s">
        <x:v>86</x:v>
      </x:c>
      <x:c r="E138" s="114"/>
      <x:c r="F138" s="107" t="s">
        <x:v>74</x:v>
      </x:c>
      <x:c r="G138" s="105" t="s">
        <x:v>2636</x:v>
      </x:c>
      <x:c r="H138" s="104" t="s">
        <x:v>2650</x:v>
      </x:c>
      <x:c r="I138" s="104" t="s">
        <x:v>2651</x:v>
      </x:c>
      <x:c r="J138" s="104" t="s">
        <x:v>680</x:v>
      </x:c>
      <x:c r="K138" s="105" t="s">
        <x:v>2133</x:v>
      </x:c>
      <x:c r="L138" s="104" t="s">
        <x:v>719</x:v>
      </x:c>
      <x:c r="M138" s="105" t="s">
        <x:v>2482</x:v>
      </x:c>
      <x:c r="N138" s="104" t="s">
        <x:v>2652</x:v>
      </x:c>
    </x:row>
    <x:row r="139" ht="14.5" customHeight="1">
      <x:c r="A139" s="108" t="s">
        <x:v>745</x:v>
      </x:c>
      <x:c r="B139" s="109" t="s">
        <x:v>746</x:v>
      </x:c>
      <x:c r="C139" s="109" t="s">
        <x:v>136</x:v>
      </x:c>
      <x:c r="D139" s="113" t="s">
        <x:v>86</x:v>
      </x:c>
      <x:c r="E139" s="115"/>
      <x:c r="F139" s="107" t="s">
        <x:v>74</x:v>
      </x:c>
      <x:c r="G139" s="109" t="s">
        <x:v>2636</x:v>
      </x:c>
      <x:c r="H139" s="108" t="s">
        <x:v>2653</x:v>
      </x:c>
      <x:c r="I139" s="108" t="s">
        <x:v>2654</x:v>
      </x:c>
      <x:c r="J139" s="108" t="s">
        <x:v>680</x:v>
      </x:c>
      <x:c r="K139" s="109" t="s">
        <x:v>2139</x:v>
      </x:c>
      <x:c r="L139" s="108" t="s">
        <x:v>719</x:v>
      </x:c>
      <x:c r="M139" s="109" t="s">
        <x:v>2482</x:v>
      </x:c>
      <x:c r="N139" s="108" t="s">
        <x:v>238</x:v>
      </x:c>
    </x:row>
    <x:row r="140" ht="14.5" customHeight="1">
      <x:c r="A140" s="104" t="s">
        <x:v>747</x:v>
      </x:c>
      <x:c r="B140" s="105" t="s">
        <x:v>748</x:v>
      </x:c>
      <x:c r="C140" s="105" t="s">
        <x:v>136</x:v>
      </x:c>
      <x:c r="D140" s="113" t="s">
        <x:v>86</x:v>
      </x:c>
      <x:c r="E140" s="114"/>
      <x:c r="F140" s="107" t="s">
        <x:v>74</x:v>
      </x:c>
      <x:c r="G140" s="105" t="s">
        <x:v>2636</x:v>
      </x:c>
      <x:c r="H140" s="104" t="s">
        <x:v>680</x:v>
      </x:c>
      <x:c r="I140" s="104" t="s">
        <x:v>2655</x:v>
      </x:c>
      <x:c r="J140" s="104" t="s">
        <x:v>680</x:v>
      </x:c>
      <x:c r="K140" s="105" t="s">
        <x:v>2145</x:v>
      </x:c>
      <x:c r="L140" s="104" t="s">
        <x:v>719</x:v>
      </x:c>
      <x:c r="M140" s="105" t="s">
        <x:v>2482</x:v>
      </x:c>
      <x:c r="N140" s="104" t="s">
        <x:v>238</x:v>
      </x:c>
    </x:row>
    <x:row r="141" ht="14.5" customHeight="1">
      <x:c r="A141" s="108" t="s">
        <x:v>749</x:v>
      </x:c>
      <x:c r="B141" s="109" t="s">
        <x:v>750</x:v>
      </x:c>
      <x:c r="C141" s="109" t="s">
        <x:v>138</x:v>
      </x:c>
      <x:c r="D141" s="113" t="s">
        <x:v>86</x:v>
      </x:c>
      <x:c r="E141" s="115"/>
      <x:c r="F141" s="107" t="s">
        <x:v>74</x:v>
      </x:c>
      <x:c r="G141" s="109" t="s">
        <x:v>2656</x:v>
      </x:c>
      <x:c r="H141" s="108" t="s">
        <x:v>680</x:v>
      </x:c>
      <x:c r="I141" s="108" t="s">
        <x:v>2657</x:v>
      </x:c>
      <x:c r="J141" s="108" t="s">
        <x:v>680</x:v>
      </x:c>
      <x:c r="K141" s="109" t="s">
        <x:v>2151</x:v>
      </x:c>
      <x:c r="L141" s="108" t="s">
        <x:v>751</x:v>
      </x:c>
      <x:c r="M141" s="109" t="s">
        <x:v>2482</x:v>
      </x:c>
      <x:c r="N141" s="108" t="s">
        <x:v>537</x:v>
      </x:c>
    </x:row>
    <x:row r="142" ht="29.049999237060547" customHeight="1">
      <x:c r="A142" s="104" t="s">
        <x:v>752</x:v>
      </x:c>
      <x:c r="B142" s="105" t="s">
        <x:v>753</x:v>
      </x:c>
      <x:c r="C142" s="105" t="s">
        <x:v>138</x:v>
      </x:c>
      <x:c r="D142" s="113" t="s">
        <x:v>86</x:v>
      </x:c>
      <x:c r="E142" s="114"/>
      <x:c r="F142" s="107" t="s">
        <x:v>74</x:v>
      </x:c>
      <x:c r="G142" s="105" t="s">
        <x:v>2656</x:v>
      </x:c>
      <x:c r="H142" s="104" t="s">
        <x:v>2658</x:v>
      </x:c>
      <x:c r="I142" s="104" t="s">
        <x:v>2659</x:v>
      </x:c>
      <x:c r="J142" s="104" t="s">
        <x:v>680</x:v>
      </x:c>
      <x:c r="K142" s="104" t="s">
        <x:v>2157</x:v>
      </x:c>
      <x:c r="L142" s="104" t="s">
        <x:v>751</x:v>
      </x:c>
      <x:c r="M142" s="105" t="s">
        <x:v>2482</x:v>
      </x:c>
      <x:c r="N142" s="104" t="s">
        <x:v>238</x:v>
      </x:c>
    </x:row>
    <x:row r="143" ht="29.049999237060547" customHeight="1">
      <x:c r="A143" s="108" t="s">
        <x:v>754</x:v>
      </x:c>
      <x:c r="B143" s="108" t="s">
        <x:v>755</x:v>
      </x:c>
      <x:c r="C143" s="109" t="s">
        <x:v>138</x:v>
      </x:c>
      <x:c r="D143" s="113" t="s">
        <x:v>86</x:v>
      </x:c>
      <x:c r="E143" s="115"/>
      <x:c r="F143" s="107" t="s">
        <x:v>74</x:v>
      </x:c>
      <x:c r="G143" s="109" t="s">
        <x:v>2656</x:v>
      </x:c>
      <x:c r="H143" s="108" t="s">
        <x:v>2660</x:v>
      </x:c>
      <x:c r="I143" s="108" t="s">
        <x:v>2661</x:v>
      </x:c>
      <x:c r="J143" s="108" t="s">
        <x:v>2662</x:v>
      </x:c>
      <x:c r="K143" s="108" t="s">
        <x:v>2163</x:v>
      </x:c>
      <x:c r="L143" s="108" t="s">
        <x:v>751</x:v>
      </x:c>
      <x:c r="M143" s="109" t="s">
        <x:v>2421</x:v>
      </x:c>
      <x:c r="N143" s="109" t="s">
        <x:v>2663</x:v>
      </x:c>
    </x:row>
    <x:row r="144" ht="14.5" customHeight="1">
      <x:c r="A144" s="104" t="s">
        <x:v>756</x:v>
      </x:c>
      <x:c r="B144" s="105" t="s">
        <x:v>757</x:v>
      </x:c>
      <x:c r="C144" s="105" t="s">
        <x:v>138</x:v>
      </x:c>
      <x:c r="D144" s="110" t="s">
        <x:v>77</x:v>
      </x:c>
      <x:c r="E144" s="114"/>
      <x:c r="F144" s="111" t="s">
        <x:v>83</x:v>
      </x:c>
      <x:c r="G144" s="105" t="s">
        <x:v>2656</x:v>
      </x:c>
      <x:c r="H144" s="104" t="s">
        <x:v>680</x:v>
      </x:c>
      <x:c r="I144" s="104" t="s">
        <x:v>2481</x:v>
      </x:c>
      <x:c r="J144" s="104" t="s">
        <x:v>680</x:v>
      </x:c>
      <x:c r="K144" s="105" t="s">
        <x:v>2168</x:v>
      </x:c>
      <x:c r="L144" s="104" t="s">
        <x:v>751</x:v>
      </x:c>
      <x:c r="M144" s="105" t="s">
        <x:v>2482</x:v>
      </x:c>
      <x:c r="N144" s="104" t="s">
        <x:v>2664</x:v>
      </x:c>
    </x:row>
    <x:row r="145" ht="29.049999237060547" customHeight="1">
      <x:c r="A145" s="108" t="s">
        <x:v>759</x:v>
      </x:c>
      <x:c r="B145" s="109" t="s">
        <x:v>760</x:v>
      </x:c>
      <x:c r="C145" s="109" t="s">
        <x:v>138</x:v>
      </x:c>
      <x:c r="D145" s="110" t="s">
        <x:v>77</x:v>
      </x:c>
      <x:c r="E145" s="115"/>
      <x:c r="F145" s="107" t="s">
        <x:v>74</x:v>
      </x:c>
      <x:c r="G145" s="109" t="s">
        <x:v>2656</x:v>
      </x:c>
      <x:c r="H145" s="108" t="s">
        <x:v>680</x:v>
      </x:c>
      <x:c r="I145" s="108" t="s">
        <x:v>2605</x:v>
      </x:c>
      <x:c r="J145" s="108" t="s">
        <x:v>680</x:v>
      </x:c>
      <x:c r="K145" s="109" t="s">
        <x:v>2173</x:v>
      </x:c>
      <x:c r="L145" s="108" t="s">
        <x:v>751</x:v>
      </x:c>
      <x:c r="M145" s="109" t="s">
        <x:v>2482</x:v>
      </x:c>
      <x:c r="N145" s="108" t="s">
        <x:v>2665</x:v>
      </x:c>
    </x:row>
    <x:row r="146" ht="28" customHeight="1">
      <x:c r="A146" s="104" t="s">
        <x:v>763</x:v>
      </x:c>
      <x:c r="B146" s="105" t="s">
        <x:v>764</x:v>
      </x:c>
      <x:c r="C146" s="105" t="s">
        <x:v>138</x:v>
      </x:c>
      <x:c r="D146" s="113" t="s">
        <x:v>86</x:v>
      </x:c>
      <x:c r="E146" s="114"/>
      <x:c r="F146" s="107" t="s">
        <x:v>74</x:v>
      </x:c>
      <x:c r="G146" s="105" t="s">
        <x:v>2656</x:v>
      </x:c>
      <x:c r="H146" s="104" t="s">
        <x:v>2666</x:v>
      </x:c>
      <x:c r="I146" s="104" t="s">
        <x:v>2550</x:v>
      </x:c>
      <x:c r="J146" s="104" t="s">
        <x:v>680</x:v>
      </x:c>
      <x:c r="K146" s="105" t="s">
        <x:v>2178</x:v>
      </x:c>
      <x:c r="L146" s="104" t="s">
        <x:v>751</x:v>
      </x:c>
      <x:c r="M146" s="105" t="s">
        <x:v>2482</x:v>
      </x:c>
      <x:c r="N146" s="104" t="s">
        <x:v>234</x:v>
      </x:c>
    </x:row>
    <x:row r="147" ht="87" customHeight="1">
      <x:c r="A147" s="108" t="s">
        <x:v>765</x:v>
      </x:c>
      <x:c r="B147" s="109" t="s">
        <x:v>766</x:v>
      </x:c>
      <x:c r="C147" s="109" t="s">
        <x:v>104</x:v>
      </x:c>
      <x:c r="D147" s="118" t="s">
        <x:v>69</x:v>
      </x:c>
      <x:c r="E147" s="89" t="s">
        <x:v>230</x:v>
      </x:c>
      <x:c r="F147" s="107" t="s">
        <x:v>74</x:v>
      </x:c>
      <x:c r="G147" s="109" t="s">
        <x:v>2667</x:v>
      </x:c>
      <x:c r="H147" s="108" t="s">
        <x:v>2668</x:v>
      </x:c>
      <x:c r="I147" s="108" t="s">
        <x:v>2669</x:v>
      </x:c>
      <x:c r="J147" s="108" t="s">
        <x:v>2670</x:v>
      </x:c>
      <x:c r="K147" s="109" t="s">
        <x:v>1528</x:v>
      </x:c>
      <x:c r="L147" s="108" t="s">
        <x:v>478</x:v>
      </x:c>
      <x:c r="M147" s="109" t="s">
        <x:v>2192</x:v>
      </x:c>
      <x:c r="N147" s="108" t="s">
        <x:v>2671</x:v>
      </x:c>
    </x:row>
    <x:row r="148" ht="162.4499969482422" customHeight="1">
      <x:c r="A148" s="104" t="s">
        <x:v>770</x:v>
      </x:c>
      <x:c r="B148" s="105" t="s">
        <x:v>771</x:v>
      </x:c>
      <x:c r="C148" s="105" t="s">
        <x:v>104</x:v>
      </x:c>
      <x:c r="D148" s="117" t="s">
        <x:v>77</x:v>
      </x:c>
      <x:c r="E148" s="95" t="s">
        <x:v>267</x:v>
      </x:c>
      <x:c r="F148" s="107" t="s">
        <x:v>74</x:v>
      </x:c>
      <x:c r="G148" s="105" t="s">
        <x:v>2672</x:v>
      </x:c>
      <x:c r="H148" s="104" t="s">
        <x:v>680</x:v>
      </x:c>
      <x:c r="I148" s="104" t="s">
        <x:v>2673</x:v>
      </x:c>
      <x:c r="J148" s="104" t="s">
        <x:v>680</x:v>
      </x:c>
      <x:c r="K148" s="105" t="s">
        <x:v>1536</x:v>
      </x:c>
      <x:c r="L148" s="104" t="s">
        <x:v>478</x:v>
      </x:c>
      <x:c r="M148" s="105" t="s">
        <x:v>2230</x:v>
      </x:c>
      <x:c r="N148" s="104" t="s">
        <x:v>2674</x:v>
      </x:c>
    </x:row>
    <x:row r="149" ht="87" customHeight="1">
      <x:c r="A149" s="108" t="s">
        <x:v>774</x:v>
      </x:c>
      <x:c r="B149" s="109" t="s">
        <x:v>775</x:v>
      </x:c>
      <x:c r="C149" s="109" t="s">
        <x:v>113</x:v>
      </x:c>
      <x:c r="D149" s="118" t="s">
        <x:v>69</x:v>
      </x:c>
      <x:c r="E149" s="115"/>
      <x:c r="F149" s="107" t="s">
        <x:v>74</x:v>
      </x:c>
      <x:c r="G149" s="109" t="s">
        <x:v>2675</x:v>
      </x:c>
      <x:c r="H149" s="108" t="s">
        <x:v>2676</x:v>
      </x:c>
      <x:c r="I149" s="108" t="s">
        <x:v>2255</x:v>
      </x:c>
      <x:c r="J149" s="108" t="s">
        <x:v>2677</x:v>
      </x:c>
      <x:c r="K149" s="109" t="s">
        <x:v>1769</x:v>
      </x:c>
      <x:c r="L149" s="108" t="s">
        <x:v>519</x:v>
      </x:c>
      <x:c r="M149" s="109" t="s">
        <x:v>2192</x:v>
      </x:c>
      <x:c r="N149" s="108" t="s">
        <x:v>2678</x:v>
      </x:c>
    </x:row>
    <x:row r="150" ht="87" customHeight="1">
      <x:c r="A150" s="104" t="s">
        <x:v>779</x:v>
      </x:c>
      <x:c r="B150" s="105" t="s">
        <x:v>780</x:v>
      </x:c>
      <x:c r="C150" s="105" t="s">
        <x:v>104</x:v>
      </x:c>
      <x:c r="D150" s="118" t="s">
        <x:v>69</x:v>
      </x:c>
      <x:c r="E150" s="89" t="s">
        <x:v>230</x:v>
      </x:c>
      <x:c r="F150" s="107" t="s">
        <x:v>74</x:v>
      </x:c>
      <x:c r="G150" s="105" t="s">
        <x:v>2679</x:v>
      </x:c>
      <x:c r="H150" s="104" t="s">
        <x:v>2680</x:v>
      </x:c>
      <x:c r="I150" s="104" t="s">
        <x:v>2681</x:v>
      </x:c>
      <x:c r="J150" s="104" t="s">
        <x:v>2682</x:v>
      </x:c>
      <x:c r="K150" s="105" t="s">
        <x:v>1298</x:v>
      </x:c>
      <x:c r="L150" s="104" t="s">
        <x:v>782</x:v>
      </x:c>
      <x:c r="M150" s="105" t="s">
        <x:v>2192</x:v>
      </x:c>
      <x:c r="N150" s="104" t="s">
        <x:v>2683</x:v>
      </x:c>
    </x:row>
    <x:row r="151" ht="43.5" customHeight="1">
      <x:c r="A151" s="108" t="s">
        <x:v>573</x:v>
      </x:c>
      <x:c r="B151" s="109" t="s">
        <x:v>785</x:v>
      </x:c>
      <x:c r="C151" s="109" t="s">
        <x:v>132</x:v>
      </x:c>
      <x:c r="D151" s="113" t="s">
        <x:v>86</x:v>
      </x:c>
      <x:c r="E151" s="115"/>
      <x:c r="F151" s="107" t="s">
        <x:v>74</x:v>
      </x:c>
      <x:c r="G151" s="109" t="s">
        <x:v>2684</x:v>
      </x:c>
      <x:c r="H151" s="108" t="s">
        <x:v>680</x:v>
      </x:c>
      <x:c r="I151" s="108" t="s">
        <x:v>2255</x:v>
      </x:c>
      <x:c r="J151" s="108" t="s">
        <x:v>680</x:v>
      </x:c>
      <x:c r="K151" s="109" t="s">
        <x:v>2050</x:v>
      </x:c>
      <x:c r="L151" s="108" t="s">
        <x:v>681</x:v>
      </x:c>
      <x:c r="M151" s="109" t="s">
        <x:v>2482</x:v>
      </x:c>
      <x:c r="N151" s="108" t="s">
        <x:v>2685</x:v>
      </x:c>
    </x:row>
    <x:row r="152" ht="136" customHeight="1">
      <x:c r="A152" s="104" t="s">
        <x:v>789</x:v>
      </x:c>
      <x:c r="B152" s="105" t="s">
        <x:v>790</x:v>
      </x:c>
      <x:c r="C152" s="105" t="s">
        <x:v>104</x:v>
      </x:c>
      <x:c r="D152" s="117" t="s">
        <x:v>77</x:v>
      </x:c>
      <x:c r="E152" s="95" t="s">
        <x:v>267</x:v>
      </x:c>
      <x:c r="F152" s="107" t="s">
        <x:v>74</x:v>
      </x:c>
      <x:c r="G152" s="105" t="s">
        <x:v>2686</x:v>
      </x:c>
      <x:c r="H152" s="104" t="s">
        <x:v>680</x:v>
      </x:c>
      <x:c r="I152" s="104" t="s">
        <x:v>2687</x:v>
      </x:c>
      <x:c r="J152" s="104" t="s">
        <x:v>680</x:v>
      </x:c>
      <x:c r="K152" s="105" t="s">
        <x:v>1298</x:v>
      </x:c>
      <x:c r="L152" s="104" t="s">
        <x:v>793</x:v>
      </x:c>
      <x:c r="M152" s="105" t="s">
        <x:v>2230</x:v>
      </x:c>
      <x:c r="N152" s="104" t="s">
        <x:v>2688</x:v>
      </x:c>
    </x:row>
    <x:row r="153" ht="136" customHeight="1">
      <x:c r="A153" s="108" t="s">
        <x:v>795</x:v>
      </x:c>
      <x:c r="B153" s="109" t="s">
        <x:v>796</x:v>
      </x:c>
      <x:c r="C153" s="109" t="s">
        <x:v>104</x:v>
      </x:c>
      <x:c r="D153" s="117" t="s">
        <x:v>77</x:v>
      </x:c>
      <x:c r="E153" s="95" t="s">
        <x:v>267</x:v>
      </x:c>
      <x:c r="F153" s="107" t="s">
        <x:v>74</x:v>
      </x:c>
      <x:c r="G153" s="109" t="s">
        <x:v>2686</x:v>
      </x:c>
      <x:c r="H153" s="108" t="s">
        <x:v>680</x:v>
      </x:c>
      <x:c r="I153" s="108" t="s">
        <x:v>2689</x:v>
      </x:c>
      <x:c r="J153" s="108" t="s">
        <x:v>680</x:v>
      </x:c>
      <x:c r="K153" s="109" t="s">
        <x:v>1298</x:v>
      </x:c>
      <x:c r="L153" s="108" t="s">
        <x:v>793</x:v>
      </x:c>
      <x:c r="M153" s="109" t="s">
        <x:v>2230</x:v>
      </x:c>
      <x:c r="N153" s="108" t="s">
        <x:v>2690</x:v>
      </x:c>
    </x:row>
    <x:row r="154" ht="162.4499969482422" customHeight="1">
      <x:c r="A154" s="104" t="s">
        <x:v>799</x:v>
      </x:c>
      <x:c r="B154" s="105" t="s">
        <x:v>800</x:v>
      </x:c>
      <x:c r="C154" s="105" t="s">
        <x:v>104</x:v>
      </x:c>
      <x:c r="D154" s="117" t="s">
        <x:v>77</x:v>
      </x:c>
      <x:c r="E154" s="95" t="s">
        <x:v>267</x:v>
      </x:c>
      <x:c r="F154" s="107" t="s">
        <x:v>74</x:v>
      </x:c>
      <x:c r="G154" s="105" t="s">
        <x:v>2686</x:v>
      </x:c>
      <x:c r="H154" s="104" t="s">
        <x:v>680</x:v>
      </x:c>
      <x:c r="I154" s="104" t="s">
        <x:v>2691</x:v>
      </x:c>
      <x:c r="J154" s="104" t="s">
        <x:v>680</x:v>
      </x:c>
      <x:c r="K154" s="105" t="s">
        <x:v>1298</x:v>
      </x:c>
      <x:c r="L154" s="104" t="s">
        <x:v>793</x:v>
      </x:c>
      <x:c r="M154" s="105" t="s">
        <x:v>2230</x:v>
      </x:c>
      <x:c r="N154" s="104" t="s">
        <x:v>2692</x:v>
      </x:c>
    </x:row>
    <x:row r="155" ht="122.80000305175781" customHeight="1">
      <x:c r="A155" s="108" t="s">
        <x:v>803</x:v>
      </x:c>
      <x:c r="B155" s="109" t="s">
        <x:v>804</x:v>
      </x:c>
      <x:c r="C155" s="109" t="s">
        <x:v>104</x:v>
      </x:c>
      <x:c r="D155" s="117" t="s">
        <x:v>77</x:v>
      </x:c>
      <x:c r="E155" s="95" t="s">
        <x:v>267</x:v>
      </x:c>
      <x:c r="F155" s="107" t="s">
        <x:v>74</x:v>
      </x:c>
      <x:c r="G155" s="109" t="s">
        <x:v>2686</x:v>
      </x:c>
      <x:c r="H155" s="108" t="s">
        <x:v>680</x:v>
      </x:c>
      <x:c r="I155" s="108" t="s">
        <x:v>2693</x:v>
      </x:c>
      <x:c r="J155" s="108" t="s">
        <x:v>680</x:v>
      </x:c>
      <x:c r="K155" s="109" t="s">
        <x:v>1201</x:v>
      </x:c>
      <x:c r="L155" s="108" t="s">
        <x:v>793</x:v>
      </x:c>
      <x:c r="M155" s="109" t="s">
        <x:v>2230</x:v>
      </x:c>
      <x:c r="N155" s="108" t="s">
        <x:v>2694</x:v>
      </x:c>
    </x:row>
    <x:row r="156" ht="122.80000305175781" customHeight="1">
      <x:c r="A156" s="104" t="s">
        <x:v>807</x:v>
      </x:c>
      <x:c r="B156" s="105" t="s">
        <x:v>808</x:v>
      </x:c>
      <x:c r="C156" s="105" t="s">
        <x:v>104</x:v>
      </x:c>
      <x:c r="D156" s="117" t="s">
        <x:v>77</x:v>
      </x:c>
      <x:c r="E156" s="95" t="s">
        <x:v>267</x:v>
      </x:c>
      <x:c r="F156" s="111" t="s">
        <x:v>83</x:v>
      </x:c>
      <x:c r="G156" s="105" t="s">
        <x:v>2686</x:v>
      </x:c>
      <x:c r="H156" s="104" t="s">
        <x:v>680</x:v>
      </x:c>
      <x:c r="I156" s="104" t="s">
        <x:v>2695</x:v>
      </x:c>
      <x:c r="J156" s="104" t="s">
        <x:v>680</x:v>
      </x:c>
      <x:c r="K156" s="105" t="s">
        <x:v>1567</x:v>
      </x:c>
      <x:c r="L156" s="104" t="s">
        <x:v>793</x:v>
      </x:c>
      <x:c r="M156" s="105" t="s">
        <x:v>2230</x:v>
      </x:c>
      <x:c r="N156" s="104" t="s">
        <x:v>2696</x:v>
      </x:c>
    </x:row>
    <x:row r="157" ht="136" customHeight="1">
      <x:c r="A157" s="108" t="s">
        <x:v>811</x:v>
      </x:c>
      <x:c r="B157" s="109" t="s">
        <x:v>812</x:v>
      </x:c>
      <x:c r="C157" s="109" t="s">
        <x:v>104</x:v>
      </x:c>
      <x:c r="D157" s="117" t="s">
        <x:v>77</x:v>
      </x:c>
      <x:c r="E157" s="95" t="s">
        <x:v>267</x:v>
      </x:c>
      <x:c r="F157" s="111" t="s">
        <x:v>83</x:v>
      </x:c>
      <x:c r="G157" s="109" t="s">
        <x:v>2686</x:v>
      </x:c>
      <x:c r="H157" s="108" t="s">
        <x:v>680</x:v>
      </x:c>
      <x:c r="I157" s="108" t="s">
        <x:v>2697</x:v>
      </x:c>
      <x:c r="J157" s="108" t="s">
        <x:v>680</x:v>
      </x:c>
      <x:c r="K157" s="109" t="s">
        <x:v>1201</x:v>
      </x:c>
      <x:c r="L157" s="108" t="s">
        <x:v>793</x:v>
      </x:c>
      <x:c r="M157" s="109" t="s">
        <x:v>2230</x:v>
      </x:c>
      <x:c r="N157" s="108" t="s">
        <x:v>2698</x:v>
      </x:c>
    </x:row>
    <x:row r="158" ht="122.80000305175781" customHeight="1">
      <x:c r="A158" s="104" t="s">
        <x:v>815</x:v>
      </x:c>
      <x:c r="B158" s="105" t="s">
        <x:v>816</x:v>
      </x:c>
      <x:c r="C158" s="105" t="s">
        <x:v>104</x:v>
      </x:c>
      <x:c r="D158" s="117" t="s">
        <x:v>77</x:v>
      </x:c>
      <x:c r="E158" s="95" t="s">
        <x:v>267</x:v>
      </x:c>
      <x:c r="F158" s="111" t="s">
        <x:v>83</x:v>
      </x:c>
      <x:c r="G158" s="105" t="s">
        <x:v>2686</x:v>
      </x:c>
      <x:c r="H158" s="104" t="s">
        <x:v>680</x:v>
      </x:c>
      <x:c r="I158" s="104" t="s">
        <x:v>2699</x:v>
      </x:c>
      <x:c r="J158" s="104" t="s">
        <x:v>680</x:v>
      </x:c>
      <x:c r="K158" s="105" t="s">
        <x:v>1578</x:v>
      </x:c>
      <x:c r="L158" s="104" t="s">
        <x:v>818</x:v>
      </x:c>
      <x:c r="M158" s="105" t="s">
        <x:v>2230</x:v>
      </x:c>
      <x:c r="N158" s="104" t="s">
        <x:v>2700</x:v>
      </x:c>
    </x:row>
    <x:row r="159" ht="123.5" customHeight="1">
      <x:c r="A159" s="108" t="s">
        <x:v>820</x:v>
      </x:c>
      <x:c r="B159" s="109" t="str">
        <x:v>AI 업무 질의응답 및 맥락형 가이드 안내</x:v>
      </x:c>
      <x:c r="C159" s="109" t="s">
        <x:v>104</x:v>
      </x:c>
      <x:c r="D159" s="117" t="s">
        <x:v>77</x:v>
      </x:c>
      <x:c r="E159" s="139" t="str">
        <x:v>진행</x:v>
      </x:c>
      <x:c r="F159" s="107" t="s">
        <x:v>74</x:v>
      </x:c>
      <x:c r="G159" s="109" t="str">
        <x:v>화면정의서 v3.0 §6-2 CMN-C04 · 인터페이스정의서 v3.0</x:v>
      </x:c>
      <x:c r="H159" s="108" t="str">
        <x:v>구현 예정: AI 업무 질의응답 및 맥락형 가이드 안내</x:v>
      </x:c>
      <x:c r="I159" s="108" t="str">
        <x:v>FGC-UI-CMN-C04 / IF-API-60(재정의) / IF-EXT-03</x:v>
      </x:c>
      <x:c r="J159" s="108" t="str">
        <x:v>명세 인수조건 기반 검증 예정. 진행 여부는 구현/테스트 완료를 뜻하지 않음.</x:v>
      </x:c>
      <x:c r="K159" s="109" t="str">
        <x:v>업무 가이드 카탈로그/화면정의서/API명세서/AI 안내 검증결과</x:v>
      </x:c>
      <x:c r="L159" s="108" t="s">
        <x:v>818</x:v>
      </x:c>
      <x:c r="M159" s="109" t="str">
        <x:v>미착수(2차·진행 범위)</x:v>
      </x:c>
      <x:c r="N159" s="108" t="str">
        <x:v>v3.0 (2026-10-27, 현준 최종 회의 반영): 미진행→진행. 기존073을 내부 전용 AI 업무 질의응답·등록 가이드 연결로 재정의. 신규 FUN 번호 없음.</x:v>
      </x:c>
    </x:row>
    <x:row r="160" ht="136" customHeight="1">
      <x:c r="A160" s="104" t="s">
        <x:v>821</x:v>
      </x:c>
      <x:c r="B160" s="105" t="s">
        <x:v>822</x:v>
      </x:c>
      <x:c r="C160" s="105" t="s">
        <x:v>104</x:v>
      </x:c>
      <x:c r="D160" s="117" t="s">
        <x:v>77</x:v>
      </x:c>
      <x:c r="E160" s="95" t="s">
        <x:v>267</x:v>
      </x:c>
      <x:c r="F160" s="111" t="s">
        <x:v>83</x:v>
      </x:c>
      <x:c r="G160" s="105" t="s">
        <x:v>2686</x:v>
      </x:c>
      <x:c r="H160" s="104" t="s">
        <x:v>680</x:v>
      </x:c>
      <x:c r="I160" s="104" t="s">
        <x:v>2701</x:v>
      </x:c>
      <x:c r="J160" s="104" t="s">
        <x:v>680</x:v>
      </x:c>
      <x:c r="K160" s="105" t="s">
        <x:v>1584</x:v>
      </x:c>
      <x:c r="L160" s="104" t="s">
        <x:v>818</x:v>
      </x:c>
      <x:c r="M160" s="105" t="s">
        <x:v>2230</x:v>
      </x:c>
      <x:c r="N160" s="104" t="s">
        <x:v>2702</x:v>
      </x:c>
    </x:row>
    <x:row r="161" ht="175.64999389648438" customHeight="1">
      <x:c r="A161" s="108" t="s">
        <x:v>825</x:v>
      </x:c>
      <x:c r="B161" s="109" t="s">
        <x:v>826</x:v>
      </x:c>
      <x:c r="C161" s="109" t="s">
        <x:v>104</x:v>
      </x:c>
      <x:c r="D161" s="117" t="s">
        <x:v>77</x:v>
      </x:c>
      <x:c r="E161" s="137" t="str">
        <x:v>미진행</x:v>
      </x:c>
      <x:c r="F161" s="107" t="s">
        <x:v>74</x:v>
      </x:c>
      <x:c r="G161" s="109" t="str">
        <x:v>화면정의서 v3.0 §6-5 미진행 DETC · 인터페이스정의서 v3.0</x:v>
      </x:c>
      <x:c r="H161" s="108" t="s">
        <x:v>680</x:v>
      </x:c>
      <x:c r="I161" s="108" t="str">
        <x:v>FGC-UI-DETC-W01 / IF-API-62 (미진행·추적용)</x:v>
      </x:c>
      <x:c r="J161" s="108" t="s">
        <x:v>680</x:v>
      </x:c>
      <x:c r="K161" s="109" t="s">
        <x:v>1201</x:v>
      </x:c>
      <x:c r="L161" s="108" t="s">
        <x:v>433</x:v>
      </x:c>
      <x:c r="M161" s="109" t="str">
        <x:v>범위 밖(v3.0)</x:v>
      </x:c>
      <x:c r="N161" s="108" t="str">
        <x:v>v3.0 (2026-10-27, 현준 최종 회의 반영): 논의후 진행→미진행. 탐정 패턴 탐지·관계지도는 이번 구현/인수에서 제외. ID·원안은 이력으로 보존.</x:v>
      </x:c>
    </x:row>
    <x:row r="162" ht="136" customHeight="1">
      <x:c r="A162" s="104" t="s">
        <x:v>828</x:v>
      </x:c>
      <x:c r="B162" s="105" t="str">
        <x:v>정산탐정 관계지도 수수료 영수증 조회</x:v>
      </x:c>
      <x:c r="C162" s="105" t="s">
        <x:v>104</x:v>
      </x:c>
      <x:c r="D162" s="117" t="s">
        <x:v>77</x:v>
      </x:c>
      <x:c r="E162" s="137" t="str">
        <x:v>미진행</x:v>
      </x:c>
      <x:c r="F162" s="111" t="str">
        <x:v>S</x:v>
      </x:c>
      <x:c r="G162" s="105" t="str">
        <x:v>화면정의서 v3.0 §6-5 미진행 DETC 내부 영수증 · 인터페이스정의서 v3.0</x:v>
      </x:c>
      <x:c r="H162" s="104" t="str">
        <x:v>미구현 범위: 대사 결과별 추적 조회·관계지도 드로어 연결</x:v>
      </x:c>
      <x:c r="I162" s="104" t="str">
        <x:v>FGC-UI-DETC-W01 내부 CMN-C03 / IF-API-63 (미진행·추적용)</x:v>
      </x:c>
      <x:c r="J162" s="104" t="str">
        <x:v>신규 인수조건 기반 테스트 작성 필요</x:v>
      </x:c>
      <x:c r="K162" s="105" t="str">
        <x:v>화면정의서/API명세서</x:v>
      </x:c>
      <x:c r="L162" s="104" t="s">
        <x:v>818</x:v>
      </x:c>
      <x:c r="M162" s="105" t="str">
        <x:v>범위 밖(v3.0)</x:v>
      </x:c>
      <x:c r="N162" s="104" t="str">
        <x:v>v3.0 (2026-10-27, 현준 최종 회의 반영): 논의후 진행→미진행. 탐정 제외에 따라 관계지도 수수료 영수증도 제외. 기존 원천 상세 조회는 유지.</x:v>
      </x:c>
    </x:row>
    <x:row r="163" ht="162.4499969482422" customHeight="1">
      <x:c r="A163" s="108" t="s">
        <x:v>829</x:v>
      </x:c>
      <x:c r="B163" s="109" t="s">
        <x:v>830</x:v>
      </x:c>
      <x:c r="C163" s="109" t="s">
        <x:v>104</x:v>
      </x:c>
      <x:c r="D163" s="117" t="s">
        <x:v>77</x:v>
      </x:c>
      <x:c r="E163" s="93" t="s">
        <x:v>241</x:v>
      </x:c>
      <x:c r="F163" s="111" t="s">
        <x:v>83</x:v>
      </x:c>
      <x:c r="G163" s="109" t="s">
        <x:v>2686</x:v>
      </x:c>
      <x:c r="H163" s="108" t="s">
        <x:v>680</x:v>
      </x:c>
      <x:c r="I163" s="108" t="s">
        <x:v>2703</x:v>
      </x:c>
      <x:c r="J163" s="108" t="s">
        <x:v>680</x:v>
      </x:c>
      <x:c r="K163" s="109" t="s">
        <x:v>1201</x:v>
      </x:c>
      <x:c r="L163" s="108" t="s">
        <x:v>306</x:v>
      </x:c>
      <x:c r="M163" s="109" t="s">
        <x:v>2201</x:v>
      </x:c>
      <x:c r="N163" s="108" t="s">
        <x:v>2704</x:v>
      </x:c>
    </x:row>
    <x:row r="164" ht="149.25" customHeight="1">
      <x:c r="A164" s="104" t="s">
        <x:v>834</x:v>
      </x:c>
      <x:c r="B164" s="105" t="s">
        <x:v>835</x:v>
      </x:c>
      <x:c r="C164" s="105" t="s">
        <x:v>104</x:v>
      </x:c>
      <x:c r="D164" s="117" t="s">
        <x:v>77</x:v>
      </x:c>
      <x:c r="E164" s="95" t="s">
        <x:v>267</x:v>
      </x:c>
      <x:c r="F164" s="107" t="s">
        <x:v>74</x:v>
      </x:c>
      <x:c r="G164" s="105" t="s">
        <x:v>2686</x:v>
      </x:c>
      <x:c r="H164" s="104" t="s">
        <x:v>680</x:v>
      </x:c>
      <x:c r="I164" s="104" t="s">
        <x:v>2705</x:v>
      </x:c>
      <x:c r="J164" s="104" t="s">
        <x:v>680</x:v>
      </x:c>
      <x:c r="K164" s="105" t="s">
        <x:v>1298</x:v>
      </x:c>
      <x:c r="L164" s="104" t="s">
        <x:v>478</x:v>
      </x:c>
      <x:c r="M164" s="105" t="s">
        <x:v>2230</x:v>
      </x:c>
      <x:c r="N164" s="104" t="s">
        <x:v>2706</x:v>
      </x:c>
    </x:row>
    <x:row r="165" ht="140" customHeight="1">
      <x:c r="A165" s="108" t="s">
        <x:v>838</x:v>
      </x:c>
      <x:c r="B165" s="109" t="str">
        <x:v>설계사 상황별 상품 적합도 조회·AI 근거 설명</x:v>
      </x:c>
      <x:c r="C165" s="109" t="s">
        <x:v>104</x:v>
      </x:c>
      <x:c r="D165" s="117" t="s">
        <x:v>77</x:v>
      </x:c>
      <x:c r="E165" s="139" t="str">
        <x:v>진행</x:v>
      </x:c>
      <x:c r="F165" s="107" t="str">
        <x:v>M</x:v>
      </x:c>
      <x:c r="G165" s="109" t="str">
        <x:v>화면정의서 v3.0 §6-1 AGNT-W01 내부 상품 AI 모달 · 인터페이스정의서 v3.0</x:v>
      </x:c>
      <x:c r="H165" s="108" t="str">
        <x:v>구현 예정: 설계사 상황별 상품 적합도 조회·AI 근거 설명</x:v>
      </x:c>
      <x:c r="I165" s="108" t="str">
        <x:v>FGC-UI-AGNT-W01 내부 모달(구 CMPR-W01 통합) / IF-API-76·77·78 / IF-EXT-03</x:v>
      </x:c>
      <x:c r="J165" s="108" t="str">
        <x:v>명세 인수조건 기반 검증 예정. 진행 여부는 구현/테스트 완료를 뜻하지 않음.</x:v>
      </x:c>
      <x:c r="K165" s="109" t="str">
        <x:v>화면정의서/API명세서/적합도 규칙 정의서/AI 설명 검증결과</x:v>
      </x:c>
      <x:c r="L165" s="108" t="s">
        <x:v>478</x:v>
      </x:c>
      <x:c r="M165" s="109" t="str">
        <x:v>미착수(2차·진행 범위)</x:v>
      </x:c>
      <x:c r="N165" s="108" t="str">
        <x:v>v3.0 (2026-10-27, 현준 최종 회의 반영): 논의후 진행→진행. 설계사 홈 모달로 통합. 필요한 기존 DB 데이터/계산 로직은079 범위, 계산식·가중치는 미확정.078 제외 유지.</x:v>
      </x:c>
    </x:row>
    <x:row r="166" ht="188.8000030517578" customHeight="1">
      <x:c r="A166" s="104" t="s">
        <x:v>839</x:v>
      </x:c>
      <x:c r="B166" s="105" t="s">
        <x:v>840</x:v>
      </x:c>
      <x:c r="C166" s="105" t="s">
        <x:v>104</x:v>
      </x:c>
      <x:c r="D166" s="117" t="s">
        <x:v>77</x:v>
      </x:c>
      <x:c r="E166" s="89" t="s">
        <x:v>230</x:v>
      </x:c>
      <x:c r="F166" s="107" t="s">
        <x:v>74</x:v>
      </x:c>
      <x:c r="G166" s="105" t="s">
        <x:v>2686</x:v>
      </x:c>
      <x:c r="H166" s="104" t="s">
        <x:v>680</x:v>
      </x:c>
      <x:c r="I166" s="104" t="s">
        <x:v>2707</x:v>
      </x:c>
      <x:c r="J166" s="104" t="s">
        <x:v>680</x:v>
      </x:c>
      <x:c r="K166" s="105" t="s">
        <x:v>1201</x:v>
      </x:c>
      <x:c r="L166" s="104" t="s">
        <x:v>507</x:v>
      </x:c>
      <x:c r="M166" s="105" t="s">
        <x:v>2201</x:v>
      </x:c>
      <x:c r="N166" s="104" t="s">
        <x:v>2708</x:v>
      </x:c>
    </x:row>
    <x:row r="167" ht="96.44999694824219" customHeight="1">
      <x:c r="A167" s="108" t="s">
        <x:v>844</x:v>
      </x:c>
      <x:c r="B167" s="109" t="s">
        <x:v>845</x:v>
      </x:c>
      <x:c r="C167" s="109" t="s">
        <x:v>104</x:v>
      </x:c>
      <x:c r="D167" s="117" t="s">
        <x:v>77</x:v>
      </x:c>
      <x:c r="E167" s="95" t="s">
        <x:v>267</x:v>
      </x:c>
      <x:c r="F167" s="111" t="s">
        <x:v>83</x:v>
      </x:c>
      <x:c r="G167" s="109" t="s">
        <x:v>2686</x:v>
      </x:c>
      <x:c r="H167" s="108" t="s">
        <x:v>680</x:v>
      </x:c>
      <x:c r="I167" s="108" t="s">
        <x:v>2709</x:v>
      </x:c>
      <x:c r="J167" s="108" t="s">
        <x:v>680</x:v>
      </x:c>
      <x:c r="K167" s="109" t="s">
        <x:v>1610</x:v>
      </x:c>
      <x:c r="L167" s="108" t="s">
        <x:v>507</x:v>
      </x:c>
      <x:c r="M167" s="109" t="s">
        <x:v>2230</x:v>
      </x:c>
      <x:c r="N167" s="108" t="s">
        <x:v>2710</x:v>
      </x:c>
    </x:row>
    <x:row r="168" ht="109.6500015258789" customHeight="1">
      <x:c r="A168" s="104" t="s">
        <x:v>848</x:v>
      </x:c>
      <x:c r="B168" s="105" t="s">
        <x:v>849</x:v>
      </x:c>
      <x:c r="C168" s="105" t="s">
        <x:v>104</x:v>
      </x:c>
      <x:c r="D168" s="117" t="s">
        <x:v>77</x:v>
      </x:c>
      <x:c r="E168" s="95" t="s">
        <x:v>267</x:v>
      </x:c>
      <x:c r="F168" s="111" t="s">
        <x:v>83</x:v>
      </x:c>
      <x:c r="G168" s="105" t="s">
        <x:v>2686</x:v>
      </x:c>
      <x:c r="H168" s="104" t="s">
        <x:v>680</x:v>
      </x:c>
      <x:c r="I168" s="104" t="s">
        <x:v>2711</x:v>
      </x:c>
      <x:c r="J168" s="104" t="s">
        <x:v>680</x:v>
      </x:c>
      <x:c r="K168" s="105" t="s">
        <x:v>1298</x:v>
      </x:c>
      <x:c r="L168" s="104" t="s">
        <x:v>851</x:v>
      </x:c>
      <x:c r="M168" s="105" t="s">
        <x:v>2230</x:v>
      </x:c>
      <x:c r="N168" s="104" t="s">
        <x:v>2712</x:v>
      </x:c>
    </x:row>
    <x:row r="169" ht="149.25" customHeight="1">
      <x:c r="A169" s="108" t="s">
        <x:v>853</x:v>
      </x:c>
      <x:c r="B169" s="109" t="s">
        <x:v>854</x:v>
      </x:c>
      <x:c r="C169" s="109" t="s">
        <x:v>104</x:v>
      </x:c>
      <x:c r="D169" s="117" t="s">
        <x:v>77</x:v>
      </x:c>
      <x:c r="E169" s="95" t="s">
        <x:v>267</x:v>
      </x:c>
      <x:c r="F169" s="111" t="s">
        <x:v>83</x:v>
      </x:c>
      <x:c r="G169" s="109" t="s">
        <x:v>2686</x:v>
      </x:c>
      <x:c r="H169" s="108" t="s">
        <x:v>680</x:v>
      </x:c>
      <x:c r="I169" s="108" t="s">
        <x:v>2713</x:v>
      </x:c>
      <x:c r="J169" s="108" t="s">
        <x:v>680</x:v>
      </x:c>
      <x:c r="K169" s="109" t="s">
        <x:v>1298</x:v>
      </x:c>
      <x:c r="L169" s="108" t="s">
        <x:v>851</x:v>
      </x:c>
      <x:c r="M169" s="109" t="s">
        <x:v>2230</x:v>
      </x:c>
      <x:c r="N169" s="108" t="s">
        <x:v>2714</x:v>
      </x:c>
    </x:row>
    <x:row r="170" ht="162.4499969482422" customHeight="1">
      <x:c r="A170" s="104" t="s">
        <x:v>857</x:v>
      </x:c>
      <x:c r="B170" s="105" t="s">
        <x:v>858</x:v>
      </x:c>
      <x:c r="C170" s="105" t="s">
        <x:v>104</x:v>
      </x:c>
      <x:c r="D170" s="117" t="s">
        <x:v>77</x:v>
      </x:c>
      <x:c r="E170" s="139" t="str">
        <x:v>진행</x:v>
      </x:c>
      <x:c r="F170" s="111" t="s">
        <x:v>83</x:v>
      </x:c>
      <x:c r="G170" s="105" t="str">
        <x:v>화면정의서 v3.0 §6-2 CLAW-W01 PDF · 인터페이스정의서 v3.0</x:v>
      </x:c>
      <x:c r="H170" s="104" t="str">
        <x:v>구현 예정: 환수 통지서 PDF 생성·다운로드·발행 이력</x:v>
      </x:c>
      <x:c r="I170" s="104" t="str">
        <x:v>FGC-UI-CLAW-W01 부가 기능 / IF-API-73·67A / 발행 이력 조회 설계 필요</x:v>
      </x:c>
      <x:c r="J170" s="104" t="str">
        <x:v>명세 인수조건 기반 검증 예정. 진행 여부는 구현/테스트 완료를 뜻하지 않음.</x:v>
      </x:c>
      <x:c r="K170" s="105" t="s">
        <x:v>1624</x:v>
      </x:c>
      <x:c r="L170" s="104" t="s">
        <x:v>443</x:v>
      </x:c>
      <x:c r="M170" s="105" t="str">
        <x:v>미착수(2차·진행 범위)</x:v>
      </x:c>
      <x:c r="N170" s="104" t="str">
        <x:v>v3.0 (2026-10-27, 현준 최종 회의 반영): 논의후 진행→진행. 환수 화면의 내부 관리자 PDF 기능으로 분리. AGENT 제공·085 선행 의존 제거.</x:v>
      </x:c>
    </x:row>
    <x:row r="171" ht="175.64999389648438" customHeight="1">
      <x:c r="A171" s="108" t="s">
        <x:v>860</x:v>
      </x:c>
      <x:c r="B171" s="109" t="s">
        <x:v>861</x:v>
      </x:c>
      <x:c r="C171" s="109" t="s">
        <x:v>104</x:v>
      </x:c>
      <x:c r="D171" s="117" t="s">
        <x:v>77</x:v>
      </x:c>
      <x:c r="E171" s="139" t="str">
        <x:v>진행</x:v>
      </x:c>
      <x:c r="F171" s="107" t="s">
        <x:v>74</x:v>
      </x:c>
      <x:c r="G171" s="109" t="str">
        <x:v>화면정의서 v3.0 §4-1·§6-2 공통 권한 · 인터페이스정의서 v3.0</x:v>
      </x:c>
      <x:c r="H171" s="108" t="str">
        <x:v>구현 예정: 설계사 역할·본인 데이터 경계</x:v>
      </x:c>
      <x:c r="I171" s="108" t="str">
        <x:v>AGNT-W01·RPT-W02·본인 계약/지급/환수·079 모달 / FGC-AUTH-005</x:v>
      </x:c>
      <x:c r="J171" s="108" t="str">
        <x:v>명세 인수조건 기반 검증 예정. 진행 여부는 구현/테스트 완료를 뜻하지 않음.</x:v>
      </x:c>
      <x:c r="K171" s="109" t="s">
        <x:v>1195</x:v>
      </x:c>
      <x:c r="L171" s="108" t="s">
        <x:v>233</x:v>
      </x:c>
      <x:c r="M171" s="109" t="str">
        <x:v>미착수(2차·진행 범위)</x:v>
      </x:c>
      <x:c r="N171" s="108" t="str">
        <x:v>v3.0 (2026-10-27, 현준 최종 회의 반영): 논의후 진행→진행. 본인 홈·명세·상품 AI 경계 적용.073 내부 AI와084 환수 PDF는 AGENT 제외.</x:v>
      </x:c>
    </x:row>
    <x:row r="172" ht="149.25" customHeight="1">
      <x:c r="A172" s="104" t="s">
        <x:v>863</x:v>
      </x:c>
      <x:c r="B172" s="105" t="str">
        <x:v>설계사 홈: 포트폴리오·오늘의 계약 관리</x:v>
      </x:c>
      <x:c r="C172" s="105" t="s">
        <x:v>104</x:v>
      </x:c>
      <x:c r="D172" s="117" t="s">
        <x:v>77</x:v>
      </x:c>
      <x:c r="E172" s="139" t="str">
        <x:v>진행</x:v>
      </x:c>
      <x:c r="F172" s="111" t="s">
        <x:v>83</x:v>
      </x:c>
      <x:c r="G172" s="105" t="str">
        <x:v>화면정의서 v3.0 §6-1 AGNT-W01 · 인터페이스정의서 v3.0</x:v>
      </x:c>
      <x:c r="H172" s="104" t="str">
        <x:v>구현 예정: 설계사 홈: 포트폴리오·오늘의 계약 관리</x:v>
      </x:c>
      <x:c r="I172" s="104" t="str">
        <x:v>FGC-UI-AGNT-W01 / IF-API-74·74A / 079 모달76~78</x:v>
      </x:c>
      <x:c r="J172" s="104" t="str">
        <x:v>명세 인수조건 기반 검증 예정. 진행 여부는 구현/테스트 완료를 뜻하지 않음.</x:v>
      </x:c>
      <x:c r="K172" s="105" t="s">
        <x:v>1201</x:v>
      </x:c>
      <x:c r="L172" s="104" t="s">
        <x:v>507</x:v>
      </x:c>
      <x:c r="M172" s="105" t="str">
        <x:v>미착수(2차·진행 범위)</x:v>
      </x:c>
      <x:c r="N172" s="104" t="str">
        <x:v>v3.0 (2026-10-27, 현준 최종 회의 반영): 논의후 진행→진행. 목업의 포트폴리오/상품 AI 진입 반영. 기존 확인 결과·후속 확인일 기록 유지.</x:v>
      </x:c>
    </x:row>
    <x:row r="173" ht="87" customHeight="1">
      <x:c r="A173" s="108" t="s">
        <x:v>865</x:v>
      </x:c>
      <x:c r="B173" s="109" t="s">
        <x:v>866</x:v>
      </x:c>
      <x:c r="C173" s="109" t="s">
        <x:v>112</x:v>
      </x:c>
      <x:c r="D173" s="117" t="s">
        <x:v>77</x:v>
      </x:c>
      <x:c r="E173" s="115"/>
      <x:c r="F173" s="107" t="s">
        <x:v>74</x:v>
      </x:c>
      <x:c r="G173" s="109" t="s">
        <x:v>2686</x:v>
      </x:c>
      <x:c r="H173" s="108" t="s">
        <x:v>680</x:v>
      </x:c>
      <x:c r="I173" s="108" t="s">
        <x:v>2715</x:v>
      </x:c>
      <x:c r="J173" s="108" t="s">
        <x:v>680</x:v>
      </x:c>
      <x:c r="K173" s="109" t="s">
        <x:v>1714</x:v>
      </x:c>
      <x:c r="L173" s="108" t="s">
        <x:v>507</x:v>
      </x:c>
      <x:c r="M173" s="109" t="s">
        <x:v>2201</x:v>
      </x:c>
      <x:c r="N173" s="108" t="s">
        <x:v>2716</x:v>
      </x:c>
    </x:row>
    <x:row r="174" ht="87" customHeight="1">
      <x:c r="A174" s="104" t="s">
        <x:v>870</x:v>
      </x:c>
      <x:c r="B174" s="105" t="s">
        <x:v>871</x:v>
      </x:c>
      <x:c r="C174" s="105" t="s">
        <x:v>113</x:v>
      </x:c>
      <x:c r="D174" s="117" t="s">
        <x:v>77</x:v>
      </x:c>
      <x:c r="E174" s="114"/>
      <x:c r="F174" s="107" t="s">
        <x:v>74</x:v>
      </x:c>
      <x:c r="G174" s="105" t="s">
        <x:v>2717</x:v>
      </x:c>
      <x:c r="H174" s="104" t="s">
        <x:v>680</x:v>
      </x:c>
      <x:c r="I174" s="104" t="s">
        <x:v>2718</x:v>
      </x:c>
      <x:c r="J174" s="104" t="s">
        <x:v>680</x:v>
      </x:c>
      <x:c r="K174" s="105" t="s">
        <x:v>1775</x:v>
      </x:c>
      <x:c r="L174" s="104" t="s">
        <x:v>519</x:v>
      </x:c>
      <x:c r="M174" s="105" t="s">
        <x:v>2201</x:v>
      </x:c>
      <x:c r="N174" s="104" t="s">
        <x:v>2719</x:v>
      </x:c>
    </x:row>
    <x:row r="175" ht="87" customHeight="1">
      <x:c r="A175" s="108" t="s">
        <x:v>874</x:v>
      </x:c>
      <x:c r="B175" s="109" t="s">
        <x:v>875</x:v>
      </x:c>
      <x:c r="C175" s="109" t="s">
        <x:v>126</x:v>
      </x:c>
      <x:c r="D175" s="117" t="s">
        <x:v>77</x:v>
      </x:c>
      <x:c r="E175" s="115"/>
      <x:c r="F175" s="107" t="s">
        <x:v>74</x:v>
      </x:c>
      <x:c r="G175" s="109" t="s">
        <x:v>2686</x:v>
      </x:c>
      <x:c r="H175" s="108" t="s">
        <x:v>680</x:v>
      </x:c>
      <x:c r="I175" s="108" t="s">
        <x:v>2720</x:v>
      </x:c>
      <x:c r="J175" s="108" t="s">
        <x:v>680</x:v>
      </x:c>
      <x:c r="K175" s="109" t="s">
        <x:v>1951</x:v>
      </x:c>
      <x:c r="L175" s="108" t="s">
        <x:v>620</x:v>
      </x:c>
      <x:c r="M175" s="109" t="s">
        <x:v>2201</x:v>
      </x:c>
      <x:c r="N175" s="108" t="s">
        <x:v>2721</x:v>
      </x:c>
    </x:row>
    <x:row r="176" ht="87" customHeight="1">
      <x:c r="A176" s="104" t="s">
        <x:v>878</x:v>
      </x:c>
      <x:c r="B176" s="105" t="s">
        <x:v>879</x:v>
      </x:c>
      <x:c r="C176" s="105" t="s">
        <x:v>122</x:v>
      </x:c>
      <x:c r="D176" s="117" t="s">
        <x:v>77</x:v>
      </x:c>
      <x:c r="E176" s="114"/>
      <x:c r="F176" s="107" t="s">
        <x:v>74</x:v>
      </x:c>
      <x:c r="G176" s="105" t="s">
        <x:v>2717</x:v>
      </x:c>
      <x:c r="H176" s="104" t="s">
        <x:v>680</x:v>
      </x:c>
      <x:c r="I176" s="104" t="s">
        <x:v>2722</x:v>
      </x:c>
      <x:c r="J176" s="104" t="s">
        <x:v>680</x:v>
      </x:c>
      <x:c r="K176" s="105" t="s">
        <x:v>1879</x:v>
      </x:c>
      <x:c r="L176" s="104" t="s">
        <x:v>581</x:v>
      </x:c>
      <x:c r="M176" s="105" t="s">
        <x:v>2201</x:v>
      </x:c>
      <x:c r="N176" s="104" t="s">
        <x:v>2723</x:v>
      </x:c>
    </x:row>
    <x:row r="177" ht="87" customHeight="1">
      <x:c r="A177" s="108" t="s">
        <x:v>882</x:v>
      </x:c>
      <x:c r="B177" s="109" t="s">
        <x:v>883</x:v>
      </x:c>
      <x:c r="C177" s="109" t="s">
        <x:v>108</x:v>
      </x:c>
      <x:c r="D177" s="117" t="s">
        <x:v>77</x:v>
      </x:c>
      <x:c r="E177" s="115"/>
      <x:c r="F177" s="111" t="s">
        <x:v>83</x:v>
      </x:c>
      <x:c r="G177" s="109" t="s">
        <x:v>2717</x:v>
      </x:c>
      <x:c r="H177" s="108" t="s">
        <x:v>680</x:v>
      </x:c>
      <x:c r="I177" s="108" t="s">
        <x:v>2724</x:v>
      </x:c>
      <x:c r="J177" s="108" t="s">
        <x:v>680</x:v>
      </x:c>
      <x:c r="K177" s="109" t="s">
        <x:v>1674</x:v>
      </x:c>
      <x:c r="L177" s="108" t="s">
        <x:v>484</x:v>
      </x:c>
      <x:c r="M177" s="109" t="s">
        <x:v>2201</x:v>
      </x:c>
      <x:c r="N177" s="108" t="s">
        <x:v>2725</x:v>
      </x:c>
    </x:row>
    <x:row r="178" ht="150" customHeight="1">
      <x:c r="A178" s="104" t="s">
        <x:v>886</x:v>
      </x:c>
      <x:c r="B178" s="105" t="str">
        <x:v>화면별 업무 가이드 및 안내 대상 연결</x:v>
      </x:c>
      <x:c r="C178" s="105" t="s">
        <x:v>104</x:v>
      </x:c>
      <x:c r="D178" s="117" t="s">
        <x:v>77</x:v>
      </x:c>
      <x:c r="E178" s="139" t="str">
        <x:v>진행</x:v>
      </x:c>
      <x:c r="F178" s="107" t="s">
        <x:v>74</x:v>
      </x:c>
      <x:c r="G178" s="105" t="str">
        <x:v>화면정의서 v3.0 §6-2 CMN-C04 · 인터페이스정의서 v3.0</x:v>
      </x:c>
      <x:c r="H178" s="104" t="str">
        <x:v>구현 예정: 화면별 업무 가이드 및 안내 대상 연결</x:v>
      </x:c>
      <x:c r="I178" s="104" t="str">
        <x:v>FGC-UI-CMN-C04 각 업무 탭 / 고정 안내·기존 API, AI 연결은073</x:v>
      </x:c>
      <x:c r="J178" s="104" t="str">
        <x:v>명세 인수조건 기반 검증 예정. 진행 여부는 구현/테스트 완료를 뜻하지 않음.</x:v>
      </x:c>
      <x:c r="K178" s="105" t="s">
        <x:v>1631</x:v>
      </x:c>
      <x:c r="L178" s="104" t="s">
        <x:v>507</x:v>
      </x:c>
      <x:c r="M178" s="105" t="str">
        <x:v>미착수(2차·진행 범위)</x:v>
      </x:c>
      <x:c r="N178" s="104" t="str">
        <x:v>v3.0 (2026-10-27, 현준 최종 회의 반영): 진행 유지. 고정 도움말·마스코트/스포트라이트 실행기를 AI/전체 흐름과 공유하고 대상 식별·완료 조건 보완.</x:v>
      </x:c>
    </x:row>
    <x:row r="179" ht="210" customHeight="1">
      <x:c r="A179" s="108" t="s">
        <x:v>887</x:v>
      </x:c>
      <x:c r="B179" s="109" t="str">
        <x:v>전체 업무 흐름 가이드</x:v>
      </x:c>
      <x:c r="C179" s="109" t="s">
        <x:v>104</x:v>
      </x:c>
      <x:c r="D179" s="117" t="s">
        <x:v>77</x:v>
      </x:c>
      <x:c r="E179" s="139" t="str">
        <x:v>진행</x:v>
      </x:c>
      <x:c r="F179" s="107" t="s">
        <x:v>74</x:v>
      </x:c>
      <x:c r="G179" s="109" t="str">
        <x:v>화면정의서 v3.0 §6-2 CMN-C04 · 인터페이스정의서 v3.0</x:v>
      </x:c>
      <x:c r="H179" s="108" t="str">
        <x:v>구현 예정: 전체 업무 흐름 가이드</x:v>
      </x:c>
      <x:c r="I179" s="108" t="str">
        <x:v>DASH-W01 → CONT → SCHE → TRAN → VRUN → RECO → EXCP → VRUN-W02 / 기존 API·073·087</x:v>
      </x:c>
      <x:c r="J179" s="108" t="str">
        <x:v>명세 인수조건 기반 검증 예정. 진행 여부는 구현/테스트 완료를 뜻하지 않음.</x:v>
      </x:c>
      <x:c r="K179" s="109" t="s">
        <x:v>1631</x:v>
      </x:c>
      <x:c r="L179" s="108" t="s">
        <x:v>507</x:v>
      </x:c>
      <x:c r="M179" s="109" t="str">
        <x:v>미착수(2차·진행 범위)</x:v>
      </x:c>
      <x:c r="N179" s="108" t="str">
        <x:v>v3.0 (2026-10-27, 현준 최종 회의 반영): 진행 유지.9단계 전체 흐름·중간 시작·상태 기반 분기/복귀 보완. 별도 DB확인10단계 제외.</x:v>
      </x:c>
    </x:row>
  </x:sheetData>
  <x:conditionalFormatting sqref="E2:E179">
    <x:cfRule type="expression" dxfId="5" priority="4">
      <x:formula>E2="진행"</x:formula>
    </x:cfRule>
    <x:cfRule type="expression" dxfId="4" priority="5">
      <x:formula>E2="미진행"</x:formula>
    </x:cfRule>
    <x:cfRule type="expression" dxfId="3" priority="6">
      <x:formula>E2="후순위"</x:formula>
    </x:cfRule>
    <x:cfRule type="expression" dxfId="2" priority="7">
      <x:formula>E2="논의후 진행"</x:formula>
    </x:cfRule>
  </x:conditionalFormatting>
  <x:conditionalFormatting sqref="F2:F182">
    <x:cfRule type="expression" dxfId="1" priority="3">
      <x:formula>F2="M"</x:formula>
    </x:cfRule>
  </x:conditionalFormatting>
  <x:conditionalFormatting sqref="M2:M182">
    <x:cfRule type="expression" dxfId="0" priority="2">
      <x:formula>M2="증적완료"</x:formula>
    </x:cfRule>
  </x:conditionalFormatting>
  <x:dataValidations count="2">
    <x:dataValidation type="list" sqref="M2:M182">
      <x:formula1>"미추적,설계연결,구현연결,테스트연결,증적완료"</x:formula1>
      <x:formula2>0</x:formula2>
    </x:dataValidation>
    <x:dataValidation type="list" sqref="E2:E179">
      <x:formula1>"진행,미진행,후순위,논의후 진행"</x:formula1>
    </x:dataValidation>
  </x:dataValidations>
  <x:pageMargins left="0.7" right="0.7" top="0.75" bottom="0.75" header="0.3" footer="0.3"/>
  <x:tableParts count="1">
    <x:tablePart xmlns:r="http://schemas.openxmlformats.org/officeDocument/2006/relationships" r:id="Rc5555b2f3a174ef0"/>
  </x:tableParts>
</x:worksheet>
</file>

<file path=xl/worksheets/sheet19.xml><?xml version="1.0" encoding="utf-8"?>
<x:worksheet xmlns:x="http://schemas.openxmlformats.org/spreadsheetml/2006/main">
  <x:sheetViews>
    <x:sheetView workbookViewId="0">
      <x:pane xSplit="2" ySplit="1" topLeftCell="C2" activePane="bottomRight" state="frozen"/>
    </x:sheetView>
  </x:sheetViews>
  <x:sheetFormatPr defaultColWidth="8.61328125" defaultRowHeight="12.449999809265137"/>
  <x:cols>
    <x:col min="1" max="1" width="8" customWidth="1"/>
    <x:col min="2" max="2" width="22" customWidth="1"/>
    <x:col min="3" max="3" width="11" customWidth="1"/>
    <x:col min="4" max="4" width="20" customWidth="1"/>
    <x:col min="5" max="5" width="46" customWidth="1"/>
    <x:col min="6" max="6" width="30" customWidth="1"/>
    <x:col min="7" max="7" width="26" customWidth="1"/>
    <x:col min="8" max="8" width="10" customWidth="1"/>
  </x:cols>
  <x:sheetData>
    <x:row r="1" ht="26.049999237060547" customHeight="1">
      <x:c r="A1" s="14" t="s">
        <x:v>2726</x:v>
      </x:c>
      <x:c r="B1" s="7" t="s">
        <x:v>2727</x:v>
      </x:c>
      <x:c r="C1" s="7" t="s">
        <x:v>2728</x:v>
      </x:c>
      <x:c r="D1" s="7" t="s">
        <x:v>2729</x:v>
      </x:c>
      <x:c r="E1" s="7" t="s">
        <x:v>2730</x:v>
      </x:c>
      <x:c r="F1" s="7" t="s">
        <x:v>2731</x:v>
      </x:c>
      <x:c r="G1" s="7" t="s">
        <x:v>895</x:v>
      </x:c>
      <x:c r="H1" s="7" t="s">
        <x:v>2732</x:v>
      </x:c>
    </x:row>
    <x:row r="2" ht="25" customHeight="1">
      <x:c r="A2" s="8" t="s">
        <x:v>2733</x:v>
      </x:c>
      <x:c r="B2" s="9" t="s">
        <x:v>2734</x:v>
      </x:c>
      <x:c r="C2" s="8" t="s">
        <x:v>2735</x:v>
      </x:c>
      <x:c r="D2" s="9" t="s">
        <x:v>2736</x:v>
      </x:c>
      <x:c r="E2" s="9" t="s">
        <x:v>2737</x:v>
      </x:c>
      <x:c r="F2" s="9" t="s">
        <x:v>2738</x:v>
      </x:c>
      <x:c r="G2" s="8" t="s">
        <x:v>2739</x:v>
      </x:c>
      <x:c r="H2" s="8" t="s">
        <x:v>1079</x:v>
      </x:c>
    </x:row>
    <x:row r="3" ht="37.5" customHeight="1">
      <x:c r="A3" s="10" t="s">
        <x:v>2740</x:v>
      </x:c>
      <x:c r="B3" s="11" t="s">
        <x:v>2741</x:v>
      </x:c>
      <x:c r="C3" s="10" t="s">
        <x:v>2735</x:v>
      </x:c>
      <x:c r="D3" s="11" t="s">
        <x:v>2742</x:v>
      </x:c>
      <x:c r="E3" s="11" t="s">
        <x:v>2743</x:v>
      </x:c>
      <x:c r="F3" s="11" t="s">
        <x:v>2744</x:v>
      </x:c>
      <x:c r="G3" s="10" t="s">
        <x:v>303</x:v>
      </x:c>
      <x:c r="H3" s="10" t="s">
        <x:v>1086</x:v>
      </x:c>
    </x:row>
    <x:row r="4" ht="37.5" customHeight="1">
      <x:c r="A4" s="8" t="s">
        <x:v>2745</x:v>
      </x:c>
      <x:c r="B4" s="9" t="s">
        <x:v>2746</x:v>
      </x:c>
      <x:c r="C4" s="8" t="s">
        <x:v>2747</x:v>
      </x:c>
      <x:c r="D4" s="9" t="s">
        <x:v>2748</x:v>
      </x:c>
      <x:c r="E4" s="9" t="s">
        <x:v>2749</x:v>
      </x:c>
      <x:c r="F4" s="9" t="s">
        <x:v>2750</x:v>
      </x:c>
      <x:c r="G4" s="8" t="s">
        <x:v>2751</x:v>
      </x:c>
      <x:c r="H4" s="8" t="s">
        <x:v>1092</x:v>
      </x:c>
    </x:row>
    <x:row r="5" ht="37.5" customHeight="1">
      <x:c r="A5" s="10" t="s">
        <x:v>2752</x:v>
      </x:c>
      <x:c r="B5" s="11" t="s">
        <x:v>2753</x:v>
      </x:c>
      <x:c r="C5" s="10" t="s">
        <x:v>2747</x:v>
      </x:c>
      <x:c r="D5" s="11" t="s">
        <x:v>2754</x:v>
      </x:c>
      <x:c r="E5" s="11" t="s">
        <x:v>2755</x:v>
      </x:c>
      <x:c r="F5" s="11" t="s">
        <x:v>2756</x:v>
      </x:c>
      <x:c r="G5" s="10" t="s">
        <x:v>2757</x:v>
      </x:c>
      <x:c r="H5" s="10" t="s">
        <x:v>1112</x:v>
      </x:c>
    </x:row>
    <x:row r="6" ht="32.04999923706055" customHeight="1">
      <x:c r="A6" s="8" t="s">
        <x:v>2758</x:v>
      </x:c>
      <x:c r="B6" s="9" t="s">
        <x:v>2759</x:v>
      </x:c>
      <x:c r="C6" s="8" t="s">
        <x:v>2747</x:v>
      </x:c>
      <x:c r="D6" s="9" t="s">
        <x:v>2760</x:v>
      </x:c>
      <x:c r="E6" s="9" t="s">
        <x:v>2761</x:v>
      </x:c>
      <x:c r="F6" s="8" t="s">
        <x:v>2762</x:v>
      </x:c>
      <x:c r="G6" s="8" t="s">
        <x:v>2763</x:v>
      </x:c>
      <x:c r="H6" s="8" t="s">
        <x:v>2764</x:v>
      </x:c>
    </x:row>
    <x:row r="7" ht="32.04999923706055" customHeight="1">
      <x:c r="A7" s="10" t="s">
        <x:v>2765</x:v>
      </x:c>
      <x:c r="B7" s="11" t="s">
        <x:v>2766</x:v>
      </x:c>
      <x:c r="C7" s="10" t="s">
        <x:v>2747</x:v>
      </x:c>
      <x:c r="D7" s="11" t="s">
        <x:v>2767</x:v>
      </x:c>
      <x:c r="E7" s="11" t="s">
        <x:v>2768</x:v>
      </x:c>
      <x:c r="F7" s="11" t="s">
        <x:v>2769</x:v>
      </x:c>
      <x:c r="G7" s="10" t="s">
        <x:v>2770</x:v>
      </x:c>
      <x:c r="H7" s="10" t="s">
        <x:v>77</x:v>
      </x:c>
    </x:row>
    <x:row r="8" ht="25" customHeight="1">
      <x:c r="A8" s="8" t="s">
        <x:v>2771</x:v>
      </x:c>
      <x:c r="B8" s="9" t="s">
        <x:v>2772</x:v>
      </x:c>
      <x:c r="C8" s="8" t="s">
        <x:v>2747</x:v>
      </x:c>
      <x:c r="D8" s="9" t="s">
        <x:v>2773</x:v>
      </x:c>
      <x:c r="E8" s="9" t="s">
        <x:v>2774</x:v>
      </x:c>
      <x:c r="F8" s="8" t="s">
        <x:v>680</x:v>
      </x:c>
      <x:c r="G8" s="8" t="s">
        <x:v>2775</x:v>
      </x:c>
      <x:c r="H8" s="8" t="s">
        <x:v>1106</x:v>
      </x:c>
    </x:row>
    <x:row r="9" ht="64" customHeight="1">
      <x:c r="A9" s="10" t="s">
        <x:v>2776</x:v>
      </x:c>
      <x:c r="B9" s="11" t="s">
        <x:v>2777</x:v>
      </x:c>
      <x:c r="C9" s="10" t="s">
        <x:v>2747</x:v>
      </x:c>
      <x:c r="D9" s="10" t="s">
        <x:v>2778</x:v>
      </x:c>
      <x:c r="E9" s="11" t="s">
        <x:v>2779</x:v>
      </x:c>
      <x:c r="F9" s="10" t="s">
        <x:v>2780</x:v>
      </x:c>
      <x:c r="G9" s="10" t="s">
        <x:v>2781</x:v>
      </x:c>
      <x:c r="H9" s="10" t="s">
        <x:v>77</x:v>
      </x:c>
    </x:row>
    <x:row r="10" ht="32.04999923706055" customHeight="1">
      <x:c r="A10" s="8" t="s">
        <x:v>2782</x:v>
      </x:c>
      <x:c r="B10" s="9" t="s">
        <x:v>2783</x:v>
      </x:c>
      <x:c r="C10" s="8" t="s">
        <x:v>2747</x:v>
      </x:c>
      <x:c r="D10" s="8" t="s">
        <x:v>2742</x:v>
      </x:c>
      <x:c r="E10" s="9" t="s">
        <x:v>2784</x:v>
      </x:c>
      <x:c r="F10" s="9" t="s">
        <x:v>2785</x:v>
      </x:c>
      <x:c r="G10" s="8" t="s">
        <x:v>2786</x:v>
      </x:c>
      <x:c r="H10" s="8" t="s">
        <x:v>1086</x:v>
      </x:c>
    </x:row>
    <x:row r="11" ht="48" customHeight="1">
      <x:c r="A11" s="10" t="s">
        <x:v>2787</x:v>
      </x:c>
      <x:c r="B11" s="11" t="s">
        <x:v>2788</x:v>
      </x:c>
      <x:c r="C11" s="11" t="s">
        <x:v>2789</x:v>
      </x:c>
      <x:c r="D11" s="11" t="s">
        <x:v>2790</x:v>
      </x:c>
      <x:c r="E11" s="11" t="s">
        <x:v>2791</x:v>
      </x:c>
      <x:c r="F11" s="10" t="s">
        <x:v>2792</x:v>
      </x:c>
      <x:c r="G11" s="10" t="s">
        <x:v>2793</x:v>
      </x:c>
      <x:c r="H11" s="10" t="s">
        <x:v>1106</x:v>
      </x:c>
    </x:row>
    <x:row r="12" ht="37.5" customHeight="1">
      <x:c r="A12" s="8" t="s">
        <x:v>2794</x:v>
      </x:c>
      <x:c r="B12" s="9" t="s">
        <x:v>2795</x:v>
      </x:c>
      <x:c r="C12" s="9" t="s">
        <x:v>2747</x:v>
      </x:c>
      <x:c r="D12" s="9" t="s">
        <x:v>2796</x:v>
      </x:c>
      <x:c r="E12" s="9" t="s">
        <x:v>2797</x:v>
      </x:c>
      <x:c r="F12" s="26" t="s">
        <x:v>2798</x:v>
      </x:c>
      <x:c r="G12" s="8" t="s">
        <x:v>2799</x:v>
      </x:c>
      <x:c r="H12" s="8" t="s">
        <x:v>2800</x:v>
      </x:c>
    </x:row>
  </x:sheetData>
  <x:pageMargins left="0.7" right="0.7" top="0.75" bottom="0.75" header="0.3" footer="0.3"/>
</x:worksheet>
</file>

<file path=xl/worksheets/sheet20.xml><?xml version="1.0" encoding="utf-8"?>
<x:worksheet xmlns:x="http://schemas.openxmlformats.org/spreadsheetml/2006/main">
  <x:sheetViews>
    <x:sheetView workbookViewId="0">
      <x:pane ySplit="1" topLeftCell="A2" activePane="bottomLeft" state="frozen"/>
    </x:sheetView>
  </x:sheetViews>
  <x:sheetFormatPr defaultColWidth="8.61328125" defaultRowHeight="12.449999809265137"/>
  <x:cols>
    <x:col min="1" max="1" width="18" customWidth="1"/>
    <x:col min="2" max="2" width="26" customWidth="1"/>
    <x:col min="3" max="3" width="56" customWidth="1"/>
    <x:col min="4" max="4" width="20" customWidth="1"/>
    <x:col min="5" max="5" width="30" customWidth="1"/>
  </x:cols>
  <x:sheetData>
    <x:row r="1" ht="13" customHeight="1">
      <x:c r="A1" s="7" t="s">
        <x:v>2801</x:v>
      </x:c>
      <x:c r="B1" s="7" t="s">
        <x:v>2802</x:v>
      </x:c>
      <x:c r="C1" s="7" t="s">
        <x:v>67</x:v>
      </x:c>
      <x:c r="D1" s="7" t="s">
        <x:v>2803</x:v>
      </x:c>
      <x:c r="E1" s="7" t="s">
        <x:v>65</x:v>
      </x:c>
    </x:row>
    <x:row r="2" ht="25" customHeight="1">
      <x:c r="A2" s="9" t="s">
        <x:v>2804</x:v>
      </x:c>
      <x:c r="B2" s="8" t="s">
        <x:v>2805</x:v>
      </x:c>
      <x:c r="C2" s="9" t="s">
        <x:v>2806</x:v>
      </x:c>
      <x:c r="D2" s="9" t="s">
        <x:v>2807</x:v>
      </x:c>
      <x:c r="E2" s="8" t="s">
        <x:v>2808</x:v>
      </x:c>
    </x:row>
    <x:row r="3" ht="16" customHeight="1">
      <x:c r="A3" s="11" t="s">
        <x:v>2809</x:v>
      </x:c>
      <x:c r="B3" s="10" t="s">
        <x:v>2810</x:v>
      </x:c>
      <x:c r="C3" s="10" t="s">
        <x:v>2811</x:v>
      </x:c>
      <x:c r="D3" s="11" t="s">
        <x:v>2812</x:v>
      </x:c>
      <x:c r="E3" s="10"/>
    </x:row>
    <x:row r="4" ht="16" customHeight="1">
      <x:c r="A4" s="9" t="s">
        <x:v>2813</x:v>
      </x:c>
      <x:c r="B4" s="8" t="s">
        <x:v>2814</x:v>
      </x:c>
      <x:c r="C4" s="8" t="s">
        <x:v>2815</x:v>
      </x:c>
      <x:c r="D4" s="9" t="s">
        <x:v>2816</x:v>
      </x:c>
      <x:c r="E4" s="8"/>
    </x:row>
    <x:row r="5" ht="25" customHeight="1">
      <x:c r="A5" s="11" t="s">
        <x:v>2817</x:v>
      </x:c>
      <x:c r="B5" s="10" t="s">
        <x:v>2818</x:v>
      </x:c>
      <x:c r="C5" s="11" t="s">
        <x:v>2819</x:v>
      </x:c>
      <x:c r="D5" s="11" t="s">
        <x:v>2812</x:v>
      </x:c>
      <x:c r="E5" s="11" t="s">
        <x:v>2820</x:v>
      </x:c>
    </x:row>
    <x:row r="6" ht="16" customHeight="1">
      <x:c r="A6" s="9" t="s">
        <x:v>2821</x:v>
      </x:c>
      <x:c r="B6" s="8" t="s">
        <x:v>2822</x:v>
      </x:c>
      <x:c r="C6" s="9" t="s">
        <x:v>2823</x:v>
      </x:c>
      <x:c r="D6" s="9" t="s">
        <x:v>2812</x:v>
      </x:c>
      <x:c r="E6" s="8"/>
    </x:row>
    <x:row r="7" ht="16" customHeight="1">
      <x:c r="A7" s="11" t="s">
        <x:v>2824</x:v>
      </x:c>
      <x:c r="B7" s="10" t="s">
        <x:v>2825</x:v>
      </x:c>
      <x:c r="C7" s="10" t="s">
        <x:v>2826</x:v>
      </x:c>
      <x:c r="D7" s="11" t="s">
        <x:v>2812</x:v>
      </x:c>
      <x:c r="E7" s="10"/>
    </x:row>
    <x:row r="8" ht="16" customHeight="1">
      <x:c r="A8" s="9" t="s">
        <x:v>2827</x:v>
      </x:c>
      <x:c r="B8" s="8" t="s">
        <x:v>2828</x:v>
      </x:c>
      <x:c r="C8" s="9" t="s">
        <x:v>2829</x:v>
      </x:c>
      <x:c r="D8" s="9" t="s">
        <x:v>2812</x:v>
      </x:c>
      <x:c r="E8" s="8"/>
    </x:row>
    <x:row r="9" ht="16" customHeight="1">
      <x:c r="A9" s="11" t="s">
        <x:v>2830</x:v>
      </x:c>
      <x:c r="B9" s="10" t="s">
        <x:v>2831</x:v>
      </x:c>
      <x:c r="C9" s="11" t="s">
        <x:v>2832</x:v>
      </x:c>
      <x:c r="D9" s="11" t="s">
        <x:v>2833</x:v>
      </x:c>
      <x:c r="E9" s="10"/>
    </x:row>
    <x:row r="10" ht="16" customHeight="1">
      <x:c r="A10" s="9" t="s">
        <x:v>2834</x:v>
      </x:c>
      <x:c r="B10" s="8" t="s">
        <x:v>2835</x:v>
      </x:c>
      <x:c r="C10" s="9" t="s">
        <x:v>2836</x:v>
      </x:c>
      <x:c r="D10" s="9" t="s">
        <x:v>2837</x:v>
      </x:c>
      <x:c r="E10" s="8" t="s">
        <x:v>2838</x:v>
      </x:c>
    </x:row>
    <x:row r="11" ht="16" customHeight="1">
      <x:c r="A11" s="11" t="s">
        <x:v>2839</x:v>
      </x:c>
      <x:c r="B11" s="10" t="s">
        <x:v>2840</x:v>
      </x:c>
      <x:c r="C11" s="11" t="s">
        <x:v>2841</x:v>
      </x:c>
      <x:c r="D11" s="11" t="s">
        <x:v>2807</x:v>
      </x:c>
      <x:c r="E11" s="10"/>
    </x:row>
    <x:row r="12" ht="25" customHeight="1">
      <x:c r="A12" s="9" t="s">
        <x:v>2842</x:v>
      </x:c>
      <x:c r="B12" s="8" t="s">
        <x:v>2843</x:v>
      </x:c>
      <x:c r="C12" s="9" t="s">
        <x:v>2844</x:v>
      </x:c>
      <x:c r="D12" s="9" t="s">
        <x:v>2833</x:v>
      </x:c>
      <x:c r="E12" s="9" t="s">
        <x:v>2845</x:v>
      </x:c>
    </x:row>
    <x:row r="13" ht="37.5" customHeight="1">
      <x:c r="A13" s="11" t="s">
        <x:v>2846</x:v>
      </x:c>
      <x:c r="B13" s="10" t="s">
        <x:v>2847</x:v>
      </x:c>
      <x:c r="C13" s="11" t="s">
        <x:v>2848</x:v>
      </x:c>
      <x:c r="D13" s="11" t="s">
        <x:v>2833</x:v>
      </x:c>
      <x:c r="E13" s="10" t="s">
        <x:v>2849</x:v>
      </x:c>
    </x:row>
    <x:row r="14" ht="37.5" customHeight="1">
      <x:c r="A14" s="9" t="s">
        <x:v>2850</x:v>
      </x:c>
      <x:c r="B14" s="8" t="s">
        <x:v>2851</x:v>
      </x:c>
      <x:c r="C14" s="9" t="s">
        <x:v>2852</x:v>
      </x:c>
      <x:c r="D14" s="9" t="s">
        <x:v>2837</x:v>
      </x:c>
      <x:c r="E14" s="8" t="s">
        <x:v>2853</x:v>
      </x:c>
    </x:row>
    <x:row r="15" ht="37.5" customHeight="1">
      <x:c r="A15" s="10" t="s">
        <x:v>2854</x:v>
      </x:c>
      <x:c r="B15" s="10" t="s">
        <x:v>2855</x:v>
      </x:c>
      <x:c r="C15" s="11" t="s">
        <x:v>2856</x:v>
      </x:c>
      <x:c r="D15" s="11" t="s">
        <x:v>2833</x:v>
      </x:c>
      <x:c r="E15" s="10" t="s">
        <x:v>2857</x:v>
      </x:c>
    </x:row>
    <x:row r="16" ht="32.04999923706055" customHeight="1">
      <x:c r="A16" s="9" t="s">
        <x:v>2858</x:v>
      </x:c>
      <x:c r="B16" s="8" t="s">
        <x:v>2859</x:v>
      </x:c>
      <x:c r="C16" s="8" t="s">
        <x:v>2860</x:v>
      </x:c>
      <x:c r="D16" s="9" t="s">
        <x:v>2837</x:v>
      </x:c>
      <x:c r="E16" s="8" t="s">
        <x:v>2861</x:v>
      </x:c>
    </x:row>
    <x:row r="17" ht="25" customHeight="1">
      <x:c r="A17" s="11" t="s">
        <x:v>2862</x:v>
      </x:c>
      <x:c r="B17" s="10" t="s">
        <x:v>2863</x:v>
      </x:c>
      <x:c r="C17" s="11" t="s">
        <x:v>2864</x:v>
      </x:c>
      <x:c r="D17" s="11" t="s">
        <x:v>2816</x:v>
      </x:c>
      <x:c r="E17" s="10" t="s">
        <x:v>2865</x:v>
      </x:c>
    </x:row>
    <x:row r="18" ht="32.04999923706055" customHeight="1">
      <x:c r="A18" s="9" t="s">
        <x:v>2866</x:v>
      </x:c>
      <x:c r="B18" s="8" t="s">
        <x:v>2867</x:v>
      </x:c>
      <x:c r="C18" s="9" t="s">
        <x:v>2868</x:v>
      </x:c>
      <x:c r="D18" s="9" t="s">
        <x:v>2869</x:v>
      </x:c>
      <x:c r="E18" s="8" t="s">
        <x:v>2870</x:v>
      </x:c>
    </x:row>
    <x:row r="19" ht="16" customHeight="1">
      <x:c r="A19" s="11" t="s">
        <x:v>2871</x:v>
      </x:c>
      <x:c r="B19" s="10" t="s">
        <x:v>2872</x:v>
      </x:c>
      <x:c r="C19" s="11" t="s">
        <x:v>2873</x:v>
      </x:c>
      <x:c r="D19" s="11" t="s">
        <x:v>2816</x:v>
      </x:c>
      <x:c r="E19" s="11" t="s">
        <x:v>2874</x:v>
      </x:c>
    </x:row>
    <x:row r="20" ht="16" customHeight="1">
      <x:c r="A20" s="9" t="s">
        <x:v>2875</x:v>
      </x:c>
      <x:c r="B20" s="8" t="s">
        <x:v>2876</x:v>
      </x:c>
      <x:c r="C20" s="9" t="s">
        <x:v>2877</x:v>
      </x:c>
      <x:c r="D20" s="9" t="s">
        <x:v>2816</x:v>
      </x:c>
      <x:c r="E20" s="8"/>
    </x:row>
    <x:row r="21" ht="16" customHeight="1">
      <x:c r="A21" s="11" t="s">
        <x:v>2878</x:v>
      </x:c>
      <x:c r="B21" s="10" t="s">
        <x:v>2879</x:v>
      </x:c>
      <x:c r="C21" s="11" t="s">
        <x:v>2880</x:v>
      </x:c>
      <x:c r="D21" s="11" t="s">
        <x:v>2816</x:v>
      </x:c>
      <x:c r="E21" s="10"/>
    </x:row>
    <x:row r="22" ht="16" customHeight="1">
      <x:c r="A22" s="9" t="s">
        <x:v>2881</x:v>
      </x:c>
      <x:c r="B22" s="8" t="s">
        <x:v>2882</x:v>
      </x:c>
      <x:c r="C22" s="9" t="s">
        <x:v>2883</x:v>
      </x:c>
      <x:c r="D22" s="9" t="s">
        <x:v>2816</x:v>
      </x:c>
      <x:c r="E22" s="8"/>
    </x:row>
    <x:row r="23" ht="16" customHeight="1">
      <x:c r="A23" s="11" t="s">
        <x:v>910</x:v>
      </x:c>
      <x:c r="B23" s="10" t="s">
        <x:v>2884</x:v>
      </x:c>
      <x:c r="C23" s="11" t="s">
        <x:v>2885</x:v>
      </x:c>
      <x:c r="D23" s="11" t="s">
        <x:v>2807</x:v>
      </x:c>
      <x:c r="E23" s="10"/>
    </x:row>
    <x:row r="24" ht="25" customHeight="1">
      <x:c r="A24" s="9" t="s">
        <x:v>2886</x:v>
      </x:c>
      <x:c r="B24" s="8" t="s">
        <x:v>2887</x:v>
      </x:c>
      <x:c r="C24" s="9" t="s">
        <x:v>2888</x:v>
      </x:c>
      <x:c r="D24" s="9" t="s">
        <x:v>2889</x:v>
      </x:c>
      <x:c r="E24" s="9" t="s">
        <x:v>2890</x:v>
      </x:c>
    </x:row>
    <x:row r="25" ht="16" customHeight="1">
      <x:c r="A25" s="11" t="s">
        <x:v>2891</x:v>
      </x:c>
      <x:c r="B25" s="10" t="s">
        <x:v>2892</x:v>
      </x:c>
      <x:c r="C25" s="11" t="s">
        <x:v>2893</x:v>
      </x:c>
      <x:c r="D25" s="11" t="s">
        <x:v>2894</x:v>
      </x:c>
      <x:c r="E25" s="10"/>
    </x:row>
    <x:row r="26" ht="37.5" customHeight="1">
      <x:c r="A26" s="9" t="s">
        <x:v>2895</x:v>
      </x:c>
      <x:c r="B26" s="8" t="s">
        <x:v>2896</x:v>
      </x:c>
      <x:c r="C26" s="9" t="s">
        <x:v>2897</x:v>
      </x:c>
      <x:c r="D26" s="9" t="s">
        <x:v>2898</x:v>
      </x:c>
      <x:c r="E26" s="8" t="s">
        <x:v>2899</x:v>
      </x:c>
    </x:row>
    <x:row r="27" ht="25" customHeight="1">
      <x:c r="A27" s="11" t="s">
        <x:v>2900</x:v>
      </x:c>
      <x:c r="B27" s="10" t="s">
        <x:v>2901</x:v>
      </x:c>
      <x:c r="C27" s="11" t="s">
        <x:v>2902</x:v>
      </x:c>
      <x:c r="D27" s="11" t="s">
        <x:v>2894</x:v>
      </x:c>
      <x:c r="E27" s="10"/>
    </x:row>
    <x:row r="28" ht="37.5" customHeight="1">
      <x:c r="A28" s="9" t="s">
        <x:v>2903</x:v>
      </x:c>
      <x:c r="B28" s="8" t="s">
        <x:v>2904</x:v>
      </x:c>
      <x:c r="C28" s="9" t="s">
        <x:v>2905</x:v>
      </x:c>
      <x:c r="D28" s="9" t="s">
        <x:v>2906</x:v>
      </x:c>
      <x:c r="E28" s="8" t="s">
        <x:v>2907</x:v>
      </x:c>
    </x:row>
    <x:row r="29" ht="16" customHeight="1">
      <x:c r="A29" s="11" t="s">
        <x:v>2908</x:v>
      </x:c>
      <x:c r="B29" s="11" t="s">
        <x:v>2909</x:v>
      </x:c>
      <x:c r="C29" s="10" t="s">
        <x:v>2910</x:v>
      </x:c>
      <x:c r="D29" s="11" t="s">
        <x:v>2812</x:v>
      </x:c>
      <x:c r="E29" s="10" t="s">
        <x:v>2911</x:v>
      </x:c>
    </x:row>
    <x:row r="30" ht="25" customHeight="1">
      <x:c r="A30" s="9" t="s">
        <x:v>2912</x:v>
      </x:c>
      <x:c r="B30" s="9" t="s">
        <x:v>2913</x:v>
      </x:c>
      <x:c r="C30" s="9" t="s">
        <x:v>2914</x:v>
      </x:c>
      <x:c r="D30" s="9" t="s">
        <x:v>2812</x:v>
      </x:c>
      <x:c r="E30" s="9" t="s">
        <x:v>2915</x:v>
      </x:c>
    </x:row>
    <x:row r="31" ht="25" customHeight="1">
      <x:c r="A31" s="11" t="s">
        <x:v>2916</x:v>
      </x:c>
      <x:c r="B31" s="10" t="s">
        <x:v>2917</x:v>
      </x:c>
      <x:c r="C31" s="11" t="s">
        <x:v>2918</x:v>
      </x:c>
      <x:c r="D31" s="11" t="s">
        <x:v>2919</x:v>
      </x:c>
      <x:c r="E31" s="11" t="s">
        <x:v>2920</x:v>
      </x:c>
    </x:row>
    <x:row r="32" ht="37.5" customHeight="1">
      <x:c r="A32" s="9" t="s">
        <x:v>2921</x:v>
      </x:c>
      <x:c r="B32" s="8" t="s">
        <x:v>2922</x:v>
      </x:c>
      <x:c r="C32" s="9" t="s">
        <x:v>2923</x:v>
      </x:c>
      <x:c r="D32" s="9" t="s">
        <x:v>2924</x:v>
      </x:c>
      <x:c r="E32" s="9" t="s">
        <x:v>2925</x:v>
      </x:c>
    </x:row>
    <x:row r="33" ht="37.5" customHeight="1">
      <x:c r="A33" s="11" t="s">
        <x:v>2926</x:v>
      </x:c>
      <x:c r="B33" s="10" t="s">
        <x:v>2927</x:v>
      </x:c>
      <x:c r="C33" s="11" t="s">
        <x:v>2928</x:v>
      </x:c>
      <x:c r="D33" s="11" t="s">
        <x:v>2906</x:v>
      </x:c>
      <x:c r="E33" s="10" t="s">
        <x:v>2907</x:v>
      </x:c>
    </x:row>
    <x:row r="34" ht="16" customHeight="1">
      <x:c r="A34" s="9" t="s">
        <x:v>2929</x:v>
      </x:c>
      <x:c r="B34" s="8" t="s">
        <x:v>2930</x:v>
      </x:c>
      <x:c r="C34" s="9" t="s">
        <x:v>2931</x:v>
      </x:c>
      <x:c r="D34" s="9" t="s">
        <x:v>2932</x:v>
      </x:c>
      <x:c r="E34" s="8" t="s">
        <x:v>2933</x:v>
      </x:c>
    </x:row>
    <x:row r="35" ht="16" customHeight="1">
      <x:c r="A35" s="11" t="s">
        <x:v>2934</x:v>
      </x:c>
      <x:c r="B35" s="10" t="s">
        <x:v>2935</x:v>
      </x:c>
      <x:c r="C35" s="11" t="s">
        <x:v>2936</x:v>
      </x:c>
      <x:c r="D35" s="11" t="s">
        <x:v>2932</x:v>
      </x:c>
      <x:c r="E35" s="10" t="s">
        <x:v>2937</x:v>
      </x:c>
    </x:row>
    <x:row r="36" ht="32.04999923706055" customHeight="1">
      <x:c r="A36" s="9" t="s">
        <x:v>2938</x:v>
      </x:c>
      <x:c r="B36" s="8" t="s">
        <x:v>2939</x:v>
      </x:c>
      <x:c r="C36" s="9" t="s">
        <x:v>2940</x:v>
      </x:c>
      <x:c r="D36" s="9" t="s">
        <x:v>2941</x:v>
      </x:c>
      <x:c r="E36" s="8" t="s">
        <x:v>2942</x:v>
      </x:c>
    </x:row>
    <x:row r="37" ht="16" customHeight="1">
      <x:c r="A37" s="11" t="s">
        <x:v>2943</x:v>
      </x:c>
      <x:c r="B37" s="10" t="s">
        <x:v>2944</x:v>
      </x:c>
      <x:c r="C37" s="11" t="s">
        <x:v>2945</x:v>
      </x:c>
      <x:c r="D37" s="11" t="s">
        <x:v>2946</x:v>
      </x:c>
      <x:c r="E37" s="10" t="s">
        <x:v>2947</x:v>
      </x:c>
    </x:row>
    <x:row r="38" ht="25" customHeight="1">
      <x:c r="A38" s="9" t="s">
        <x:v>2948</x:v>
      </x:c>
      <x:c r="B38" s="8" t="s">
        <x:v>2949</x:v>
      </x:c>
      <x:c r="C38" s="9" t="s">
        <x:v>2950</x:v>
      </x:c>
      <x:c r="D38" s="9" t="s">
        <x:v>2951</x:v>
      </x:c>
      <x:c r="E38" s="8"/>
    </x:row>
    <x:row r="39" ht="50.04999923706055" customHeight="1">
      <x:c r="A39" s="11" t="s">
        <x:v>2952</x:v>
      </x:c>
      <x:c r="B39" s="10" t="s">
        <x:v>2953</x:v>
      </x:c>
      <x:c r="C39" s="32" t="s">
        <x:v>2954</x:v>
      </x:c>
      <x:c r="D39" s="32" t="s">
        <x:v>2955</x:v>
      </x:c>
      <x:c r="E39" s="33" t="s">
        <x:v>2956</x:v>
      </x:c>
    </x:row>
    <x:row r="40" ht="64" customHeight="1">
      <x:c r="A40" s="9" t="s">
        <x:v>2957</x:v>
      </x:c>
      <x:c r="B40" s="8" t="s">
        <x:v>2958</x:v>
      </x:c>
      <x:c r="C40" s="34" t="s">
        <x:v>2959</x:v>
      </x:c>
      <x:c r="D40" s="35" t="s">
        <x:v>2960</x:v>
      </x:c>
      <x:c r="E40" s="34" t="s">
        <x:v>2961</x:v>
      </x:c>
    </x:row>
    <x:row r="41" ht="32.04999923706055" customHeight="1">
      <x:c r="A41" s="11" t="s">
        <x:v>2962</x:v>
      </x:c>
      <x:c r="B41" s="10" t="s">
        <x:v>2963</x:v>
      </x:c>
      <x:c r="C41" s="10" t="s">
        <x:v>2964</x:v>
      </x:c>
      <x:c r="D41" s="11" t="s">
        <x:v>2965</x:v>
      </x:c>
      <x:c r="E41" s="11" t="s">
        <x:v>2966</x:v>
      </x:c>
    </x:row>
    <x:row r="42" ht="25" customHeight="1">
      <x:c r="A42" s="9" t="s">
        <x:v>2967</x:v>
      </x:c>
      <x:c r="B42" s="8" t="s">
        <x:v>2968</x:v>
      </x:c>
      <x:c r="C42" s="9" t="s">
        <x:v>2969</x:v>
      </x:c>
      <x:c r="D42" s="9" t="s">
        <x:v>2970</x:v>
      </x:c>
      <x:c r="E42" s="9" t="s">
        <x:v>2971</x:v>
      </x:c>
    </x:row>
    <x:row r="43" ht="32.04999923706055" customHeight="1">
      <x:c r="A43" s="9" t="s">
        <x:v>2972</x:v>
      </x:c>
      <x:c r="B43" s="8" t="s">
        <x:v>2973</x:v>
      </x:c>
      <x:c r="C43" s="9" t="s">
        <x:v>2974</x:v>
      </x:c>
      <x:c r="D43" s="9" t="s">
        <x:v>2837</x:v>
      </x:c>
      <x:c r="E43" s="9" t="s">
        <x:v>2975</x:v>
      </x:c>
    </x:row>
    <x:row r="44" ht="16" customHeight="1">
      <x:c r="A44" s="9" t="s">
        <x:v>2976</x:v>
      </x:c>
      <x:c r="B44" s="8" t="s">
        <x:v>2977</x:v>
      </x:c>
      <x:c r="C44" s="9" t="s">
        <x:v>2978</x:v>
      </x:c>
      <x:c r="D44" s="9" t="s">
        <x:v>2932</x:v>
      </x:c>
      <x:c r="E44" s="9" t="s">
        <x:v>2979</x:v>
      </x:c>
    </x:row>
    <x:row r="45" ht="25" customHeight="1">
      <x:c r="A45" s="9" t="s">
        <x:v>2980</x:v>
      </x:c>
      <x:c r="B45" s="8" t="s">
        <x:v>2981</x:v>
      </x:c>
      <x:c r="C45" s="9" t="s">
        <x:v>2982</x:v>
      </x:c>
      <x:c r="D45" s="9" t="s">
        <x:v>2932</x:v>
      </x:c>
      <x:c r="E45" s="9" t="s">
        <x:v>2983</x:v>
      </x:c>
    </x:row>
    <x:row r="46" ht="25" customHeight="1">
      <x:c r="A46" s="9" t="s">
        <x:v>2984</x:v>
      </x:c>
      <x:c r="B46" s="8" t="s">
        <x:v>2985</x:v>
      </x:c>
      <x:c r="C46" s="9" t="s">
        <x:v>2986</x:v>
      </x:c>
      <x:c r="D46" s="9" t="s">
        <x:v>2932</x:v>
      </x:c>
      <x:c r="E46" s="9" t="s">
        <x:v>1090</x:v>
      </x:c>
    </x:row>
    <x:row r="47" ht="25" customHeight="1">
      <x:c r="A47" s="9" t="s">
        <x:v>2987</x:v>
      </x:c>
      <x:c r="B47" s="8" t="s">
        <x:v>2988</x:v>
      </x:c>
      <x:c r="C47" s="9" t="s">
        <x:v>2989</x:v>
      </x:c>
      <x:c r="D47" s="9" t="s">
        <x:v>2932</x:v>
      </x:c>
      <x:c r="E47" s="9" t="s">
        <x:v>2990</x:v>
      </x:c>
    </x:row>
  </x:sheetData>
  <x:pageMargins left="0.7" right="0.7" top="0.75" bottom="0.75" header="0.3" footer="0.3"/>
</x:worksheet>
</file>

<file path=xl/worksheets/sheet21.xml><?xml version="1.0" encoding="utf-8"?>
<x:worksheet xmlns:x="http://schemas.openxmlformats.org/spreadsheetml/2006/main">
  <x:sheetViews>
    <x:sheetView workbookViewId="0">
      <x:pane ySplit="4" topLeftCell="A5" activePane="bottomLeft" state="frozen"/>
    </x:sheetView>
  </x:sheetViews>
  <x:sheetFormatPr defaultColWidth="8.61328125" defaultRowHeight="12.449999809265137"/>
  <x:cols>
    <x:col min="1" max="2" width="14" customWidth="1"/>
    <x:col min="3" max="3" width="24" customWidth="1"/>
    <x:col min="4" max="4" width="42" customWidth="1"/>
    <x:col min="5" max="5" width="4" customWidth="1"/>
    <x:col min="6" max="6" width="20" customWidth="1"/>
    <x:col min="7" max="7" width="18" customWidth="1"/>
    <x:col min="8" max="8" width="20" customWidth="1"/>
  </x:cols>
  <x:sheetData>
    <x:row r="1">
      <x:c r="A1" s="134" t="s">
        <x:v>2991</x:v>
      </x:c>
      <x:c r="B1" s="132"/>
      <x:c r="C1" s="132"/>
      <x:c r="D1" s="132"/>
      <x:c r="E1" s="132"/>
      <x:c r="F1" s="132"/>
      <x:c r="G1" s="132"/>
      <x:c r="H1" s="132"/>
    </x:row>
    <x:row r="2">
      <x:c r="A2" s="132"/>
      <x:c r="B2" s="132"/>
      <x:c r="C2" s="132"/>
      <x:c r="D2" s="132"/>
      <x:c r="E2" s="132"/>
      <x:c r="F2" s="132"/>
      <x:c r="G2" s="132"/>
      <x:c r="H2" s="132"/>
    </x:row>
    <x:row r="4" ht="14.050000190734863" customHeight="1">
      <x:c r="A4" s="2" t="s">
        <x:v>60</x:v>
      </x:c>
      <x:c r="B4" s="2" t="s">
        <x:v>66</x:v>
      </x:c>
      <x:c r="C4" s="2" t="s">
        <x:v>2992</x:v>
      </x:c>
      <x:c r="D4" s="2" t="s">
        <x:v>2993</x:v>
      </x:c>
      <x:c r="F4" s="2" t="s">
        <x:v>2994</x:v>
      </x:c>
      <x:c r="G4" s="2" t="s">
        <x:v>2995</x:v>
      </x:c>
      <x:c r="H4" s="2" t="s">
        <x:v>221</x:v>
      </x:c>
    </x:row>
    <x:row r="5" ht="58" customHeight="1">
      <x:c r="A5" s="1" t="s">
        <x:v>217</x:v>
      </x:c>
      <x:c r="B5" s="3" t="s">
        <x:v>69</x:v>
      </x:c>
      <x:c r="C5" s="3" t="s">
        <x:v>2996</x:v>
      </x:c>
      <x:c r="D5" s="1" t="s">
        <x:v>2997</x:v>
      </x:c>
      <x:c r="F5" s="3" t="s">
        <x:v>2998</x:v>
      </x:c>
      <x:c r="G5" s="1" t="s">
        <x:v>104</x:v>
      </x:c>
      <x:c r="H5" s="1" t="s">
        <x:v>104</x:v>
      </x:c>
    </x:row>
    <x:row r="6" ht="58" customHeight="1">
      <x:c r="A6" s="1" t="s">
        <x:v>217</x:v>
      </x:c>
      <x:c r="B6" s="3" t="s">
        <x:v>77</x:v>
      </x:c>
      <x:c r="C6" s="3" t="s">
        <x:v>2999</x:v>
      </x:c>
      <x:c r="D6" s="1" t="s">
        <x:v>3000</x:v>
      </x:c>
      <x:c r="F6" s="3" t="s">
        <x:v>3001</x:v>
      </x:c>
      <x:c r="G6" s="1" t="s">
        <x:v>108</x:v>
      </x:c>
      <x:c r="H6" s="1" t="s">
        <x:v>483</x:v>
      </x:c>
    </x:row>
    <x:row r="7" ht="14.5" customHeight="1">
      <x:c r="A7" s="1" t="s">
        <x:v>217</x:v>
      </x:c>
      <x:c r="B7" s="1" t="s">
        <x:v>86</x:v>
      </x:c>
      <x:c r="C7" s="1" t="s">
        <x:v>3002</x:v>
      </x:c>
      <x:c r="D7" s="1" t="s">
        <x:v>3003</x:v>
      </x:c>
      <x:c r="F7" s="3" t="s">
        <x:v>3004</x:v>
      </x:c>
      <x:c r="G7" s="1" t="s">
        <x:v>112</x:v>
      </x:c>
      <x:c r="H7" s="1" t="s">
        <x:v>483</x:v>
      </x:c>
    </x:row>
    <x:row r="8" ht="14.5" customHeight="1">
      <x:c r="A8" s="1" t="s">
        <x:v>219</x:v>
      </x:c>
      <x:c r="B8" s="3" t="s">
        <x:v>74</x:v>
      </x:c>
      <x:c r="C8" s="3" t="s">
        <x:v>75</x:v>
      </x:c>
      <x:c r="D8" s="1" t="s">
        <x:v>76</x:v>
      </x:c>
      <x:c r="F8" s="3" t="s">
        <x:v>3005</x:v>
      </x:c>
      <x:c r="G8" s="1" t="s">
        <x:v>113</x:v>
      </x:c>
      <x:c r="H8" s="1" t="s">
        <x:v>483</x:v>
      </x:c>
    </x:row>
    <x:row r="9" ht="14.5" customHeight="1">
      <x:c r="A9" s="1" t="s">
        <x:v>219</x:v>
      </x:c>
      <x:c r="B9" s="3" t="s">
        <x:v>83</x:v>
      </x:c>
      <x:c r="C9" s="3" t="s">
        <x:v>84</x:v>
      </x:c>
      <x:c r="D9" s="1" t="s">
        <x:v>3006</x:v>
      </x:c>
      <x:c r="F9" s="3" t="s">
        <x:v>3007</x:v>
      </x:c>
      <x:c r="G9" s="1" t="s">
        <x:v>118</x:v>
      </x:c>
      <x:c r="H9" s="1" t="s">
        <x:v>483</x:v>
      </x:c>
    </x:row>
    <x:row r="10" ht="14.5" customHeight="1">
      <x:c r="A10" s="1" t="s">
        <x:v>219</x:v>
      </x:c>
      <x:c r="B10" s="3" t="s">
        <x:v>92</x:v>
      </x:c>
      <x:c r="C10" s="3" t="s">
        <x:v>93</x:v>
      </x:c>
      <x:c r="D10" s="1" t="s">
        <x:v>94</x:v>
      </x:c>
      <x:c r="F10" s="3" t="s">
        <x:v>3008</x:v>
      </x:c>
      <x:c r="G10" s="1" t="s">
        <x:v>122</x:v>
      </x:c>
      <x:c r="H10" s="1" t="s">
        <x:v>483</x:v>
      </x:c>
    </x:row>
    <x:row r="11" ht="14.5" customHeight="1">
      <x:c r="A11" s="1" t="s">
        <x:v>219</x:v>
      </x:c>
      <x:c r="B11" s="3" t="s">
        <x:v>95</x:v>
      </x:c>
      <x:c r="C11" s="3" t="s">
        <x:v>96</x:v>
      </x:c>
      <x:c r="D11" s="1" t="s">
        <x:v>97</x:v>
      </x:c>
      <x:c r="F11" s="3" t="s">
        <x:v>3009</x:v>
      </x:c>
      <x:c r="G11" s="1" t="s">
        <x:v>126</x:v>
      </x:c>
      <x:c r="H11" s="1" t="s">
        <x:v>483</x:v>
      </x:c>
    </x:row>
    <x:row r="12" ht="14.5" customHeight="1">
      <x:c r="A12" s="1" t="s">
        <x:v>220</x:v>
      </x:c>
      <x:c r="B12" s="1" t="s">
        <x:v>237</x:v>
      </x:c>
      <x:c r="C12" s="3" t="s">
        <x:v>3010</x:v>
      </x:c>
      <x:c r="D12" s="1" t="s">
        <x:v>3011</x:v>
      </x:c>
      <x:c r="F12" s="3" t="s">
        <x:v>3012</x:v>
      </x:c>
      <x:c r="G12" s="1" t="s">
        <x:v>130</x:v>
      </x:c>
      <x:c r="H12" s="1" t="s">
        <x:v>483</x:v>
      </x:c>
    </x:row>
    <x:row r="13" ht="14.5" customHeight="1">
      <x:c r="A13" s="1" t="s">
        <x:v>220</x:v>
      </x:c>
      <x:c r="B13" s="1" t="s">
        <x:v>231</x:v>
      </x:c>
      <x:c r="C13" s="3" t="s">
        <x:v>3013</x:v>
      </x:c>
      <x:c r="D13" s="1" t="s">
        <x:v>3014</x:v>
      </x:c>
      <x:c r="F13" s="3" t="s">
        <x:v>3015</x:v>
      </x:c>
      <x:c r="G13" s="1" t="s">
        <x:v>132</x:v>
      </x:c>
      <x:c r="H13" s="1" t="s">
        <x:v>483</x:v>
      </x:c>
    </x:row>
    <x:row r="14" ht="14.5" customHeight="1">
      <x:c r="A14" s="1" t="s">
        <x:v>220</x:v>
      </x:c>
      <x:c r="B14" s="1" t="s">
        <x:v>250</x:v>
      </x:c>
      <x:c r="C14" s="3" t="s">
        <x:v>3016</x:v>
      </x:c>
      <x:c r="D14" s="1" t="s">
        <x:v>3017</x:v>
      </x:c>
      <x:c r="F14" s="3" t="s">
        <x:v>3018</x:v>
      </x:c>
      <x:c r="G14" s="1" t="s">
        <x:v>134</x:v>
      </x:c>
      <x:c r="H14" s="1" t="s">
        <x:v>483</x:v>
      </x:c>
    </x:row>
    <x:row r="15" ht="14.5" customHeight="1">
      <x:c r="A15" s="1" t="s">
        <x:v>223</x:v>
      </x:c>
      <x:c r="B15" s="1" t="s">
        <x:v>791</x:v>
      </x:c>
      <x:c r="C15" s="1" t="s">
        <x:v>3019</x:v>
      </x:c>
      <x:c r="D15" s="1" t="s">
        <x:v>3020</x:v>
      </x:c>
      <x:c r="F15" s="3" t="s">
        <x:v>3021</x:v>
      </x:c>
      <x:c r="G15" s="1" t="s">
        <x:v>136</x:v>
      </x:c>
      <x:c r="H15" s="1" t="s">
        <x:v>717</x:v>
      </x:c>
    </x:row>
    <x:row r="16" ht="14.5" customHeight="1">
      <x:c r="A16" s="1" t="s">
        <x:v>223</x:v>
      </x:c>
      <x:c r="B16" s="1" t="s">
        <x:v>1018</x:v>
      </x:c>
      <x:c r="C16" s="1" t="s">
        <x:v>3022</x:v>
      </x:c>
      <x:c r="D16" s="1" t="s">
        <x:v>3023</x:v>
      </x:c>
      <x:c r="F16" s="3" t="s">
        <x:v>3024</x:v>
      </x:c>
      <x:c r="G16" s="1" t="s">
        <x:v>138</x:v>
      </x:c>
      <x:c r="H16" s="1" t="s">
        <x:v>717</x:v>
      </x:c>
    </x:row>
    <x:row r="17" ht="14.050000190734863" customHeight="1">
      <x:c r="A17" s="1" t="s">
        <x:v>223</x:v>
      </x:c>
      <x:c r="B17" s="1" t="s">
        <x:v>232</x:v>
      </x:c>
      <x:c r="C17" s="1" t="s">
        <x:v>3025</x:v>
      </x:c>
      <x:c r="D17" s="1" t="s">
        <x:v>3026</x:v>
      </x:c>
    </x:row>
    <x:row r="18" ht="14.5" customHeight="1">
      <x:c r="A18" s="1" t="s">
        <x:v>223</x:v>
      </x:c>
      <x:c r="B18" s="1" t="s">
        <x:v>316</x:v>
      </x:c>
      <x:c r="C18" s="1" t="s">
        <x:v>3027</x:v>
      </x:c>
      <x:c r="D18" s="3" t="s">
        <x:v>3028</x:v>
      </x:c>
    </x:row>
    <x:row r="19" ht="14.050000190734863" customHeight="1">
      <x:c r="A19" s="1" t="s">
        <x:v>223</x:v>
      </x:c>
      <x:c r="B19" s="1" t="s">
        <x:v>3029</x:v>
      </x:c>
      <x:c r="C19" s="1" t="s">
        <x:v>3030</x:v>
      </x:c>
      <x:c r="D19" s="1" t="s">
        <x:v>3031</x:v>
      </x:c>
    </x:row>
    <x:row r="20" ht="14.050000190734863" customHeight="1">
      <x:c r="A20" s="1" t="s">
        <x:v>223</x:v>
      </x:c>
      <x:c r="B20" s="1" t="s">
        <x:v>3032</x:v>
      </x:c>
      <x:c r="C20" s="1" t="s">
        <x:v>3033</x:v>
      </x:c>
      <x:c r="D20" s="1" t="s">
        <x:v>3034</x:v>
      </x:c>
    </x:row>
    <x:row r="21" ht="14.050000190734863" customHeight="1">
      <x:c r="A21" s="1" t="s">
        <x:v>223</x:v>
      </x:c>
      <x:c r="B21" s="1" t="s">
        <x:v>3035</x:v>
      </x:c>
      <x:c r="C21" s="1" t="s">
        <x:v>3036</x:v>
      </x:c>
      <x:c r="D21" s="1" t="s">
        <x:v>3037</x:v>
      </x:c>
    </x:row>
    <x:row r="22" ht="14.050000190734863" customHeight="1">
      <x:c r="A22" s="1" t="s">
        <x:v>223</x:v>
      </x:c>
      <x:c r="B22" s="1" t="s">
        <x:v>3038</x:v>
      </x:c>
      <x:c r="C22" s="1" t="s">
        <x:v>3039</x:v>
      </x:c>
      <x:c r="D22" s="1" t="s">
        <x:v>3040</x:v>
      </x:c>
    </x:row>
  </x:sheetData>
  <x:mergeCells>
    <x:mergeCell ref="A1:H2"/>
  </x:mergeCells>
  <x:pageMargins left="0.7" right="0.7" top="0.75" bottom="0.75" header="0.3" footer="0.3"/>
</x:worksheet>
</file>

<file path=xl/worksheets/sheet22.xml><?xml version="1.0" encoding="utf-8"?>
<x:worksheet xmlns:x="http://schemas.openxmlformats.org/spreadsheetml/2006/main">
  <x:sheetViews>
    <x:sheetView workbookViewId="0">
      <x:pane ySplit="1" topLeftCell="A2" activePane="bottomLeft" state="frozen"/>
    </x:sheetView>
  </x:sheetViews>
  <x:sheetFormatPr defaultColWidth="8.61328125" defaultRowHeight="14.149999618530273"/>
  <x:cols>
    <x:col min="1" max="1" width="12" style="78" customWidth="1"/>
    <x:col min="2" max="2" width="18" style="78" customWidth="1"/>
    <x:col min="3" max="3" width="50" style="78" customWidth="1"/>
    <x:col min="4" max="4" width="22" style="78" customWidth="1"/>
    <x:col min="5" max="5" width="13" style="78" customWidth="1"/>
    <x:col min="6" max="6" width="44" style="78" customWidth="1"/>
    <x:col min="7" max="7" width="40" style="78" customWidth="1"/>
    <x:col min="8" max="8" width="26" style="78" customWidth="1"/>
    <x:col min="9" max="9" width="8.61328125" style="78" customWidth="1"/>
    <x:col min="10" max="16384" width="8.61328125" style="78" customWidth="0"/>
  </x:cols>
  <x:sheetData>
    <x:row r="1" ht="14.5" customHeight="1">
      <x:c r="A1" s="2" t="s">
        <x:v>3041</x:v>
      </x:c>
      <x:c r="B1" s="2" t="s">
        <x:v>221</x:v>
      </x:c>
      <x:c r="C1" s="2" t="s">
        <x:v>3042</x:v>
      </x:c>
      <x:c r="D1" s="2" t="s">
        <x:v>3043</x:v>
      </x:c>
      <x:c r="E1" s="2" t="s">
        <x:v>3044</x:v>
      </x:c>
      <x:c r="F1" s="4" t="s">
        <x:v>3045</x:v>
      </x:c>
      <x:c r="G1" s="2" t="s">
        <x:v>3046</x:v>
      </x:c>
      <x:c r="H1" s="2" t="s">
        <x:v>65</x:v>
      </x:c>
    </x:row>
    <x:row r="2" ht="42" customHeight="1">
      <x:c r="A2" s="3" t="s">
        <x:v>3047</x:v>
      </x:c>
      <x:c r="B2" s="5" t="s">
        <x:v>3048</x:v>
      </x:c>
      <x:c r="C2" s="5" t="s">
        <x:v>3049</x:v>
      </x:c>
      <x:c r="D2" s="5" t="s">
        <x:v>3050</x:v>
      </x:c>
      <x:c r="E2" s="3" t="s">
        <x:v>3051</x:v>
      </x:c>
      <x:c r="F2" s="3" t="s">
        <x:v>3052</x:v>
      </x:c>
      <x:c r="G2" s="3" t="s">
        <x:v>3053</x:v>
      </x:c>
      <x:c r="H2" s="5" t="s">
        <x:v>3054</x:v>
      </x:c>
    </x:row>
    <x:row r="3" ht="28" customHeight="1">
      <x:c r="A3" s="3" t="s">
        <x:v>3055</x:v>
      </x:c>
      <x:c r="B3" s="5" t="s">
        <x:v>3048</x:v>
      </x:c>
      <x:c r="C3" s="5" t="s">
        <x:v>3056</x:v>
      </x:c>
      <x:c r="D3" s="5" t="s">
        <x:v>3050</x:v>
      </x:c>
      <x:c r="E3" s="3" t="s">
        <x:v>3057</x:v>
      </x:c>
      <x:c r="F3" s="3" t="s">
        <x:v>3058</x:v>
      </x:c>
      <x:c r="G3" s="3" t="s">
        <x:v>3059</x:v>
      </x:c>
      <x:c r="H3" s="5" t="s">
        <x:v>3060</x:v>
      </x:c>
    </x:row>
    <x:row r="4" ht="28" customHeight="1">
      <x:c r="A4" s="3" t="s">
        <x:v>3061</x:v>
      </x:c>
      <x:c r="B4" s="5" t="s">
        <x:v>3062</x:v>
      </x:c>
      <x:c r="C4" s="5" t="s">
        <x:v>3063</x:v>
      </x:c>
      <x:c r="D4" s="5" t="s">
        <x:v>3050</x:v>
      </x:c>
      <x:c r="E4" s="3" t="s">
        <x:v>3051</x:v>
      </x:c>
      <x:c r="F4" s="3" t="s">
        <x:v>3064</x:v>
      </x:c>
      <x:c r="G4" s="3" t="s">
        <x:v>3065</x:v>
      </x:c>
      <x:c r="H4" s="5" t="s">
        <x:v>3066</x:v>
      </x:c>
    </x:row>
    <x:row r="5" ht="14.5" customHeight="1">
      <x:c r="A5" s="3" t="s">
        <x:v>3067</x:v>
      </x:c>
      <x:c r="B5" s="5" t="s">
        <x:v>3068</x:v>
      </x:c>
      <x:c r="C5" s="5" t="s">
        <x:v>3069</x:v>
      </x:c>
      <x:c r="D5" s="5" t="s">
        <x:v>3070</x:v>
      </x:c>
      <x:c r="E5" s="3" t="s">
        <x:v>3071</x:v>
      </x:c>
      <x:c r="F5" s="3" t="s">
        <x:v>3072</x:v>
      </x:c>
      <x:c r="G5" s="3" t="s">
        <x:v>3073</x:v>
      </x:c>
      <x:c r="H5" s="5" t="s">
        <x:v>3074</x:v>
      </x:c>
    </x:row>
    <x:row r="6" ht="14.5" customHeight="1">
      <x:c r="A6" s="3" t="s">
        <x:v>251</x:v>
      </x:c>
      <x:c r="B6" s="5" t="s">
        <x:v>3068</x:v>
      </x:c>
      <x:c r="C6" s="5" t="s">
        <x:v>3075</x:v>
      </x:c>
      <x:c r="D6" s="5" t="s">
        <x:v>3070</x:v>
      </x:c>
      <x:c r="E6" s="3" t="s">
        <x:v>3071</x:v>
      </x:c>
      <x:c r="F6" s="3" t="s">
        <x:v>3072</x:v>
      </x:c>
      <x:c r="G6" s="3" t="s">
        <x:v>3076</x:v>
      </x:c>
      <x:c r="H6" s="5" t="s">
        <x:v>3077</x:v>
      </x:c>
    </x:row>
    <x:row r="7" ht="29.049999237060547" customHeight="1">
      <x:c r="A7" s="3" t="s">
        <x:v>238</x:v>
      </x:c>
      <x:c r="B7" s="5" t="s">
        <x:v>3078</x:v>
      </x:c>
      <x:c r="C7" s="5" t="s">
        <x:v>3079</x:v>
      </x:c>
      <x:c r="D7" s="5" t="s">
        <x:v>3080</x:v>
      </x:c>
      <x:c r="E7" s="3" t="s">
        <x:v>3081</x:v>
      </x:c>
      <x:c r="F7" s="3" t="s">
        <x:v>3082</x:v>
      </x:c>
      <x:c r="G7" s="3" t="s">
        <x:v>3083</x:v>
      </x:c>
      <x:c r="H7" s="5" t="s">
        <x:v>3084</x:v>
      </x:c>
    </x:row>
    <x:row r="8" ht="28" customHeight="1">
      <x:c r="A8" s="3" t="s">
        <x:v>3085</x:v>
      </x:c>
      <x:c r="B8" s="5" t="s">
        <x:v>3086</x:v>
      </x:c>
      <x:c r="C8" s="5" t="s">
        <x:v>3087</x:v>
      </x:c>
      <x:c r="D8" s="5" t="s">
        <x:v>3088</x:v>
      </x:c>
      <x:c r="E8" s="3" t="s">
        <x:v>3081</x:v>
      </x:c>
      <x:c r="F8" s="3" t="s">
        <x:v>3089</x:v>
      </x:c>
      <x:c r="G8" s="3" t="s">
        <x:v>3090</x:v>
      </x:c>
      <x:c r="H8" s="5" t="s">
        <x:v>3091</x:v>
      </x:c>
    </x:row>
    <x:row r="9" ht="28" customHeight="1">
      <x:c r="A9" s="3" t="s">
        <x:v>3092</x:v>
      </x:c>
      <x:c r="B9" s="5" t="s">
        <x:v>3093</x:v>
      </x:c>
      <x:c r="C9" s="5" t="s">
        <x:v>3094</x:v>
      </x:c>
      <x:c r="D9" s="5" t="s">
        <x:v>3095</x:v>
      </x:c>
      <x:c r="E9" s="3" t="s">
        <x:v>680</x:v>
      </x:c>
      <x:c r="F9" s="3" t="s">
        <x:v>3082</x:v>
      </x:c>
      <x:c r="G9" s="3" t="s">
        <x:v>3096</x:v>
      </x:c>
      <x:c r="H9" s="5" t="s">
        <x:v>3097</x:v>
      </x:c>
    </x:row>
    <x:row r="10" ht="28" customHeight="1">
      <x:c r="A10" s="3" t="s">
        <x:v>3098</x:v>
      </x:c>
      <x:c r="B10" s="5" t="s">
        <x:v>3086</x:v>
      </x:c>
      <x:c r="C10" s="5" t="s">
        <x:v>3099</x:v>
      </x:c>
      <x:c r="D10" s="5" t="s">
        <x:v>3088</x:v>
      </x:c>
      <x:c r="E10" s="3" t="s">
        <x:v>3081</x:v>
      </x:c>
      <x:c r="F10" s="3" t="s">
        <x:v>3100</x:v>
      </x:c>
      <x:c r="G10" s="3" t="s">
        <x:v>3101</x:v>
      </x:c>
      <x:c r="H10" s="5" t="s">
        <x:v>3091</x:v>
      </x:c>
    </x:row>
    <x:row r="11" ht="28" customHeight="1">
      <x:c r="A11" s="3" t="s">
        <x:v>3102</x:v>
      </x:c>
      <x:c r="B11" s="5" t="s">
        <x:v>3103</x:v>
      </x:c>
      <x:c r="C11" s="5" t="s">
        <x:v>3104</x:v>
      </x:c>
      <x:c r="D11" s="5" t="s">
        <x:v>3105</x:v>
      </x:c>
      <x:c r="E11" s="3" t="s">
        <x:v>3106</x:v>
      </x:c>
      <x:c r="F11" s="3" t="s">
        <x:v>3107</x:v>
      </x:c>
      <x:c r="G11" s="3" t="s">
        <x:v>3108</x:v>
      </x:c>
      <x:c r="H11" s="5" t="s">
        <x:v>3109</x:v>
      </x:c>
    </x:row>
    <x:row r="12" ht="28" customHeight="1">
      <x:c r="A12" s="3" t="s">
        <x:v>3110</x:v>
      </x:c>
      <x:c r="B12" s="5" t="s">
        <x:v>3111</x:v>
      </x:c>
      <x:c r="C12" s="5" t="s">
        <x:v>3112</x:v>
      </x:c>
      <x:c r="D12" s="5" t="s">
        <x:v>3113</x:v>
      </x:c>
      <x:c r="E12" s="3" t="s">
        <x:v>3114</x:v>
      </x:c>
      <x:c r="F12" s="3" t="s">
        <x:v>3082</x:v>
      </x:c>
      <x:c r="G12" s="3" t="s">
        <x:v>3115</x:v>
      </x:c>
      <x:c r="H12" s="5" t="s">
        <x:v>3116</x:v>
      </x:c>
    </x:row>
    <x:row r="13" ht="29.049999237060547" customHeight="1">
      <x:c r="A13" s="3" t="s">
        <x:v>3117</x:v>
      </x:c>
      <x:c r="B13" s="5" t="s">
        <x:v>3118</x:v>
      </x:c>
      <x:c r="C13" s="5" t="s">
        <x:v>3119</x:v>
      </x:c>
      <x:c r="D13" s="5" t="s">
        <x:v>3120</x:v>
      </x:c>
      <x:c r="E13" s="3" t="s">
        <x:v>3121</x:v>
      </x:c>
      <x:c r="F13" s="3" t="s">
        <x:v>3122</x:v>
      </x:c>
      <x:c r="G13" s="3" t="s">
        <x:v>3123</x:v>
      </x:c>
      <x:c r="H13" s="5" t="s">
        <x:v>3124</x:v>
      </x:c>
    </x:row>
    <x:row r="14" ht="29.049999237060547" customHeight="1">
      <x:c r="A14" s="3" t="s">
        <x:v>3125</x:v>
      </x:c>
      <x:c r="B14" s="5" t="s">
        <x:v>3118</x:v>
      </x:c>
      <x:c r="C14" s="5" t="s">
        <x:v>3126</x:v>
      </x:c>
      <x:c r="D14" s="5" t="s">
        <x:v>3120</x:v>
      </x:c>
      <x:c r="E14" s="3" t="s">
        <x:v>3127</x:v>
      </x:c>
      <x:c r="F14" s="3" t="s">
        <x:v>3128</x:v>
      </x:c>
      <x:c r="G14" s="3" t="s">
        <x:v>3129</x:v>
      </x:c>
      <x:c r="H14" s="5" t="s">
        <x:v>3130</x:v>
      </x:c>
    </x:row>
    <x:row r="15" ht="51" customHeight="1">
      <x:c r="A15" s="3" t="s">
        <x:v>3131</x:v>
      </x:c>
      <x:c r="B15" s="5" t="s">
        <x:v>3132</x:v>
      </x:c>
      <x:c r="C15" s="5" t="s">
        <x:v>3133</x:v>
      </x:c>
      <x:c r="D15" s="5" t="s">
        <x:v>3134</x:v>
      </x:c>
      <x:c r="E15" s="3" t="s">
        <x:v>3135</x:v>
      </x:c>
      <x:c r="F15" s="3" t="s">
        <x:v>3136</x:v>
      </x:c>
      <x:c r="G15" s="3" t="s">
        <x:v>3137</x:v>
      </x:c>
      <x:c r="H15" s="5" t="s">
        <x:v>3138</x:v>
      </x:c>
    </x:row>
    <x:row r="16" ht="42" customHeight="1">
      <x:c r="A16" s="3" t="s">
        <x:v>3139</x:v>
      </x:c>
      <x:c r="B16" s="5" t="s">
        <x:v>3118</x:v>
      </x:c>
      <x:c r="C16" s="5" t="s">
        <x:v>3140</x:v>
      </x:c>
      <x:c r="D16" s="5" t="s">
        <x:v>3141</x:v>
      </x:c>
      <x:c r="E16" s="3" t="s">
        <x:v>3142</x:v>
      </x:c>
      <x:c r="F16" s="3" t="s">
        <x:v>3143</x:v>
      </x:c>
      <x:c r="G16" s="3" t="s">
        <x:v>3144</x:v>
      </x:c>
      <x:c r="H16" s="5" t="s">
        <x:v>3145</x:v>
      </x:c>
    </x:row>
    <x:row r="17" ht="42" customHeight="1">
      <x:c r="A17" s="3" t="s">
        <x:v>3146</x:v>
      </x:c>
      <x:c r="B17" s="5" t="s">
        <x:v>3118</x:v>
      </x:c>
      <x:c r="C17" s="5" t="s">
        <x:v>3147</x:v>
      </x:c>
      <x:c r="D17" s="5" t="s">
        <x:v>3120</x:v>
      </x:c>
      <x:c r="E17" s="3" t="s">
        <x:v>3142</x:v>
      </x:c>
      <x:c r="F17" s="3" t="s">
        <x:v>3148</x:v>
      </x:c>
      <x:c r="G17" s="3" t="s">
        <x:v>3149</x:v>
      </x:c>
      <x:c r="H17" s="5" t="s">
        <x:v>3150</x:v>
      </x:c>
    </x:row>
    <x:row r="18" ht="29.049999237060547" customHeight="1">
      <x:c r="A18" s="3" t="s">
        <x:v>3151</x:v>
      </x:c>
      <x:c r="B18" s="5" t="s">
        <x:v>3152</x:v>
      </x:c>
      <x:c r="C18" s="5" t="s">
        <x:v>3153</x:v>
      </x:c>
      <x:c r="D18" s="5" t="s">
        <x:v>3154</x:v>
      </x:c>
      <x:c r="E18" s="3" t="s">
        <x:v>3155</x:v>
      </x:c>
      <x:c r="F18" s="3" t="s">
        <x:v>3156</x:v>
      </x:c>
      <x:c r="G18" s="3" t="s">
        <x:v>3157</x:v>
      </x:c>
      <x:c r="H18" s="5" t="s">
        <x:v>3158</x:v>
      </x:c>
    </x:row>
    <x:row r="19" ht="56.04999923706055" customHeight="1">
      <x:c r="A19" s="3" t="s">
        <x:v>3159</x:v>
      </x:c>
      <x:c r="B19" s="5" t="s">
        <x:v>3132</x:v>
      </x:c>
      <x:c r="C19" s="5" t="s">
        <x:v>3160</x:v>
      </x:c>
      <x:c r="D19" s="5" t="s">
        <x:v>37</x:v>
      </x:c>
      <x:c r="E19" s="3" t="s">
        <x:v>3142</x:v>
      </x:c>
      <x:c r="F19" s="3" t="s">
        <x:v>3082</x:v>
      </x:c>
      <x:c r="G19" s="3" t="s">
        <x:v>3161</x:v>
      </x:c>
      <x:c r="H19" s="5" t="s">
        <x:v>3162</x:v>
      </x:c>
    </x:row>
    <x:row r="20" ht="84" customHeight="1">
      <x:c r="A20" s="3" t="s">
        <x:v>3163</x:v>
      </x:c>
      <x:c r="B20" s="5" t="s">
        <x:v>3164</x:v>
      </x:c>
      <x:c r="C20" s="5" t="s">
        <x:v>3165</x:v>
      </x:c>
      <x:c r="D20" s="5" t="s">
        <x:v>3166</x:v>
      </x:c>
      <x:c r="E20" s="3" t="s">
        <x:v>3167</x:v>
      </x:c>
      <x:c r="F20" s="3" t="s">
        <x:v>3168</x:v>
      </x:c>
      <x:c r="G20" s="3" t="s">
        <x:v>3169</x:v>
      </x:c>
      <x:c r="H20" s="5" t="s">
        <x:v>3170</x:v>
      </x:c>
    </x:row>
    <x:row r="21" ht="56.04999923706055" customHeight="1">
      <x:c r="A21" s="3" t="s">
        <x:v>3171</x:v>
      </x:c>
      <x:c r="B21" s="5" t="s">
        <x:v>3172</x:v>
      </x:c>
      <x:c r="C21" s="5" t="s">
        <x:v>3173</x:v>
      </x:c>
      <x:c r="D21" s="5" t="s">
        <x:v>3174</x:v>
      </x:c>
      <x:c r="E21" s="3" t="s">
        <x:v>3175</x:v>
      </x:c>
      <x:c r="F21" s="3" t="s">
        <x:v>3176</x:v>
      </x:c>
      <x:c r="G21" s="3" t="s">
        <x:v>3177</x:v>
      </x:c>
      <x:c r="H21" s="5" t="s">
        <x:v>3178</x:v>
      </x:c>
    </x:row>
    <x:row r="22" ht="70" customHeight="1">
      <x:c r="A22" s="3" t="s">
        <x:v>3179</x:v>
      </x:c>
      <x:c r="B22" s="5" t="s">
        <x:v>3180</x:v>
      </x:c>
      <x:c r="C22" s="5" t="s">
        <x:v>3181</x:v>
      </x:c>
      <x:c r="D22" s="5" t="s">
        <x:v>3182</x:v>
      </x:c>
      <x:c r="E22" s="3" t="s">
        <x:v>3183</x:v>
      </x:c>
      <x:c r="F22" s="3" t="s">
        <x:v>3082</x:v>
      </x:c>
      <x:c r="G22" s="3" t="s">
        <x:v>3184</x:v>
      </x:c>
      <x:c r="H22" s="5" t="s">
        <x:v>3185</x:v>
      </x:c>
    </x:row>
    <x:row r="23" ht="84.9000015258789">
      <x:c r="A23" s="3" t="s">
        <x:v>3186</x:v>
      </x:c>
      <x:c r="B23" s="5" t="s">
        <x:v>3187</x:v>
      </x:c>
      <x:c r="C23" s="5" t="s">
        <x:v>3188</x:v>
      </x:c>
      <x:c r="D23" s="5" t="s">
        <x:v>3050</x:v>
      </x:c>
      <x:c r="E23" s="3" t="s">
        <x:v>3189</x:v>
      </x:c>
      <x:c r="F23" s="3" t="s">
        <x:v>3190</x:v>
      </x:c>
      <x:c r="G23" s="3" t="s">
        <x:v>3191</x:v>
      </x:c>
      <x:c r="H23" s="5" t="s">
        <x:v>3192</x:v>
      </x:c>
    </x:row>
    <x:row r="24" ht="169.75">
      <x:c r="A24" s="3" t="s">
        <x:v>3193</x:v>
      </x:c>
      <x:c r="B24" s="5" t="s">
        <x:v>3194</x:v>
      </x:c>
      <x:c r="C24" s="5" t="s">
        <x:v>3195</x:v>
      </x:c>
      <x:c r="D24" s="5" t="s">
        <x:v>3196</x:v>
      </x:c>
      <x:c r="E24" s="3" t="s">
        <x:v>3197</x:v>
      </x:c>
      <x:c r="F24" s="3" t="s">
        <x:v>3198</x:v>
      </x:c>
      <x:c r="G24" s="3" t="s">
        <x:v>3199</x:v>
      </x:c>
      <x:c r="H24" s="5" t="s">
        <x:v>3200</x:v>
      </x:c>
    </x:row>
    <x:row r="25" ht="43.75">
      <x:c r="A25" s="3" t="s">
        <x:v>3201</x:v>
      </x:c>
      <x:c r="B25" s="5" t="s">
        <x:v>3202</x:v>
      </x:c>
      <x:c r="C25" s="5" t="s">
        <x:v>3203</x:v>
      </x:c>
      <x:c r="D25" s="5" t="s">
        <x:v>3204</x:v>
      </x:c>
      <x:c r="E25" s="3" t="s">
        <x:v>3205</x:v>
      </x:c>
      <x:c r="F25" s="3" t="s">
        <x:v>3206</x:v>
      </x:c>
      <x:c r="G25" s="3" t="s">
        <x:v>3207</x:v>
      </x:c>
      <x:c r="H25" s="5" t="s">
        <x:v>3208</x:v>
      </x:c>
    </x:row>
    <x:row r="26" ht="43.75">
      <x:c r="A26" s="3" t="s">
        <x:v>3209</x:v>
      </x:c>
      <x:c r="B26" s="5" t="s">
        <x:v>3202</x:v>
      </x:c>
      <x:c r="C26" s="5" t="s">
        <x:v>3210</x:v>
      </x:c>
      <x:c r="D26" s="5" t="s">
        <x:v>3204</x:v>
      </x:c>
      <x:c r="E26" s="3" t="s">
        <x:v>3211</x:v>
      </x:c>
      <x:c r="F26" s="3" t="s">
        <x:v>3212</x:v>
      </x:c>
      <x:c r="G26" s="3" t="s">
        <x:v>3213</x:v>
      </x:c>
      <x:c r="H26" s="5" t="s">
        <x:v>3214</x:v>
      </x:c>
    </x:row>
    <x:row r="27" ht="58.29999923706055">
      <x:c r="A27" s="3" t="s">
        <x:v>3215</x:v>
      </x:c>
      <x:c r="B27" s="5" t="s">
        <x:v>3216</x:v>
      </x:c>
      <x:c r="C27" s="5" t="s">
        <x:v>3217</x:v>
      </x:c>
      <x:c r="D27" s="5" t="s">
        <x:v>3196</x:v>
      </x:c>
      <x:c r="E27" s="3" t="s">
        <x:v>3218</x:v>
      </x:c>
      <x:c r="F27" s="3" t="s">
        <x:v>3219</x:v>
      </x:c>
      <x:c r="G27" s="3" t="s">
        <x:v>3220</x:v>
      </x:c>
      <x:c r="H27" s="5" t="s">
        <x:v>3221</x:v>
      </x:c>
    </x:row>
    <x:row r="28" ht="84.9000015258789">
      <x:c r="A28" s="3" t="s">
        <x:v>3222</x:v>
      </x:c>
      <x:c r="B28" s="5" t="s">
        <x:v>3223</x:v>
      </x:c>
      <x:c r="C28" s="5" t="s">
        <x:v>3224</x:v>
      </x:c>
      <x:c r="D28" s="5" t="s">
        <x:v>3225</x:v>
      </x:c>
      <x:c r="E28" s="3" t="s">
        <x:v>3135</x:v>
      </x:c>
      <x:c r="F28" s="3" t="s">
        <x:v>3226</x:v>
      </x:c>
      <x:c r="G28" s="3" t="s">
        <x:v>3227</x:v>
      </x:c>
      <x:c r="H28" s="5" t="s">
        <x:v>3228</x:v>
      </x:c>
    </x:row>
    <x:row r="29" ht="84.9000015258789">
      <x:c r="A29" s="3" t="s">
        <x:v>3229</x:v>
      </x:c>
      <x:c r="B29" s="5" t="s">
        <x:v>3230</x:v>
      </x:c>
      <x:c r="C29" s="5" t="s">
        <x:v>3231</x:v>
      </x:c>
      <x:c r="D29" s="5" t="s">
        <x:v>3232</x:v>
      </x:c>
      <x:c r="E29" s="3" t="s">
        <x:v>3233</x:v>
      </x:c>
      <x:c r="F29" s="3" t="s">
        <x:v>3234</x:v>
      </x:c>
      <x:c r="G29" s="3" t="s">
        <x:v>3235</x:v>
      </x:c>
      <x:c r="H29" s="5" t="s">
        <x:v>3236</x:v>
      </x:c>
    </x:row>
    <x:row r="30" ht="113.1500015258789">
      <x:c r="A30" s="3" t="s">
        <x:v>3237</x:v>
      </x:c>
      <x:c r="B30" s="5" t="s">
        <x:v>3238</x:v>
      </x:c>
      <x:c r="C30" s="5" t="s">
        <x:v>3239</x:v>
      </x:c>
      <x:c r="D30" s="5" t="s">
        <x:v>3120</x:v>
      </x:c>
      <x:c r="E30" s="3" t="s">
        <x:v>977</x:v>
      </x:c>
      <x:c r="F30" s="3" t="s">
        <x:v>3240</x:v>
      </x:c>
      <x:c r="G30" s="3" t="s">
        <x:v>3241</x:v>
      </x:c>
      <x:c r="H30" s="5" t="s">
        <x:v>3242</x:v>
      </x:c>
    </x:row>
    <x:row r="31" ht="99">
      <x:c r="A31" s="3" t="s">
        <x:v>3243</x:v>
      </x:c>
      <x:c r="B31" s="5" t="s">
        <x:v>3238</x:v>
      </x:c>
      <x:c r="C31" s="5" t="s">
        <x:v>3244</x:v>
      </x:c>
      <x:c r="D31" s="5" t="s">
        <x:v>3120</x:v>
      </x:c>
      <x:c r="E31" s="3" t="s">
        <x:v>3245</x:v>
      </x:c>
      <x:c r="F31" s="3" t="s">
        <x:v>3246</x:v>
      </x:c>
      <x:c r="G31" s="3" t="s">
        <x:v>3247</x:v>
      </x:c>
      <x:c r="H31" s="5" t="s">
        <x:v>3248</x:v>
      </x:c>
    </x:row>
    <x:row r="32" ht="70.75">
      <x:c r="A32" s="3" t="s">
        <x:v>3249</x:v>
      </x:c>
      <x:c r="B32" s="5" t="s">
        <x:v>3238</x:v>
      </x:c>
      <x:c r="C32" s="5" t="s">
        <x:v>3250</x:v>
      </x:c>
      <x:c r="D32" s="5" t="s">
        <x:v>3120</x:v>
      </x:c>
      <x:c r="E32" s="3" t="s">
        <x:v>3245</x:v>
      </x:c>
      <x:c r="F32" s="3" t="s">
        <x:v>3251</x:v>
      </x:c>
      <x:c r="G32" s="3" t="s">
        <x:v>3252</x:v>
      </x:c>
      <x:c r="H32" s="5" t="s">
        <x:v>3253</x:v>
      </x:c>
    </x:row>
    <x:row r="33" ht="99">
      <x:c r="A33" s="3" t="s">
        <x:v>3254</x:v>
      </x:c>
      <x:c r="B33" s="5" t="s">
        <x:v>3223</x:v>
      </x:c>
      <x:c r="C33" s="5" t="s">
        <x:v>3255</x:v>
      </x:c>
      <x:c r="D33" s="5" t="s">
        <x:v>3225</x:v>
      </x:c>
      <x:c r="E33" s="3" t="s">
        <x:v>3256</x:v>
      </x:c>
      <x:c r="F33" s="3" t="s">
        <x:v>3257</x:v>
      </x:c>
      <x:c r="G33" s="3" t="s">
        <x:v>3258</x:v>
      </x:c>
      <x:c r="H33" s="5" t="s">
        <x:v>3259</x:v>
      </x:c>
    </x:row>
    <x:row r="34" ht="127.30000305175781">
      <x:c r="A34" s="3" t="s">
        <x:v>3260</x:v>
      </x:c>
      <x:c r="B34" s="5" t="s">
        <x:v>3048</x:v>
      </x:c>
      <x:c r="C34" s="5" t="s">
        <x:v>3261</x:v>
      </x:c>
      <x:c r="D34" s="5" t="s">
        <x:v>3050</x:v>
      </x:c>
      <x:c r="E34" s="3" t="s">
        <x:v>3262</x:v>
      </x:c>
      <x:c r="F34" s="3" t="s">
        <x:v>3263</x:v>
      </x:c>
      <x:c r="G34" s="3" t="s">
        <x:v>3264</x:v>
      </x:c>
      <x:c r="H34" s="5" t="s">
        <x:v>3265</x:v>
      </x:c>
    </x:row>
    <x:row r="35" ht="127.30000305175781">
      <x:c r="A35" s="3" t="s">
        <x:v>3266</x:v>
      </x:c>
      <x:c r="B35" s="5" t="s">
        <x:v>3238</x:v>
      </x:c>
      <x:c r="C35" s="5" t="s">
        <x:v>3267</x:v>
      </x:c>
      <x:c r="D35" s="5" t="s">
        <x:v>3268</x:v>
      </x:c>
      <x:c r="E35" s="3" t="s">
        <x:v>3269</x:v>
      </x:c>
      <x:c r="F35" s="3" t="s">
        <x:v>3270</x:v>
      </x:c>
      <x:c r="G35" s="3" t="s">
        <x:v>3271</x:v>
      </x:c>
      <x:c r="H35" s="5" t="s">
        <x:v>3272</x:v>
      </x:c>
    </x:row>
  </x:sheetData>
  <x:pageMargins left="0.7" right="0.7" top="0.75" bottom="0.75" header="0.3" footer="0.3"/>
  <x:tableParts count="1">
    <x:tablePart xmlns:r="http://schemas.openxmlformats.org/officeDocument/2006/relationships" r:id="R241aac154d964220"/>
  </x:tableParts>
</x:worksheet>
</file>

<file path=xl/worksheets/sheet23.xml><?xml version="1.0" encoding="utf-8"?>
<x:worksheet xmlns:x="http://schemas.openxmlformats.org/spreadsheetml/2006/main">
  <x:sheetViews>
    <x:sheetView showGridLines="0" workbookViewId="0">
      <x:pane ySplit="6" topLeftCell="A7" activePane="bottomLeft" state="frozen"/>
    </x:sheetView>
  </x:sheetViews>
  <x:sheetFormatPr defaultColWidth="8.61328125" defaultRowHeight="12.449999809265137"/>
  <x:cols>
    <x:col min="1" max="1" width="16" customWidth="1"/>
    <x:col min="2" max="2" width="34" customWidth="1"/>
    <x:col min="3" max="3" width="30" customWidth="1"/>
    <x:col min="4" max="4" width="76.921875" customWidth="1"/>
    <x:col min="5" max="5" width="34" customWidth="1"/>
    <x:col min="6" max="6" width="50" customWidth="1"/>
    <x:col min="7" max="7" width="46" customWidth="1"/>
  </x:cols>
  <x:sheetData>
    <x:row r="1" ht="14.050000190734863" customHeight="1">
      <x:c r="A1" s="36" t="s">
        <x:v>3273</x:v>
      </x:c>
    </x:row>
    <x:row r="2" ht="21" customHeight="1">
      <x:c r="A2" s="42" t="s">
        <x:v>3274</x:v>
      </x:c>
    </x:row>
    <x:row r="3" ht="16" customHeight="1">
      <x:c r="A3" s="43" t="str">
        <x:v>v3.0: 2차 기능46개 중 진행23·논의후 진행0·후순위4·미진행19. 포함27개(M18·S9). 073 AI 업무 가이드 재정의·진행,075·076 미진행,060·079·084·085·086 진행.087·088 확장. 신규 FUN 번호 없음.</x:v>
      </x:c>
    </x:row>
    <x:row r="5" ht="17.5" customHeight="1">
      <x:c r="A5" s="6" t="s">
        <x:v>3275</x:v>
      </x:c>
    </x:row>
    <x:row r="6" ht="13" customHeight="1">
      <x:c r="A6" s="7" t="s">
        <x:v>3276</x:v>
      </x:c>
      <x:c r="B6" s="7" t="s">
        <x:v>3277</x:v>
      </x:c>
      <x:c r="C6" s="7" t="s">
        <x:v>3278</x:v>
      </x:c>
      <x:c r="D6" s="7" t="s">
        <x:v>3279</x:v>
      </x:c>
    </x:row>
    <x:row r="7" ht="16" customHeight="1">
      <x:c r="A7" s="8" t="s">
        <x:v>3280</x:v>
      </x:c>
      <x:c r="B7" s="44" t="s">
        <x:v>3281</x:v>
      </x:c>
      <x:c r="C7" s="9" t="s">
        <x:v>3282</x:v>
      </x:c>
      <x:c r="D7" s="9" t="s">
        <x:v>3283</x:v>
      </x:c>
    </x:row>
    <x:row r="8" ht="32.04999923706055" customHeight="1">
      <x:c r="A8" s="10" t="s">
        <x:v>3284</x:v>
      </x:c>
      <x:c r="B8" s="45" t="s">
        <x:v>3281</x:v>
      </x:c>
      <x:c r="C8" s="11" t="s">
        <x:v>3285</x:v>
      </x:c>
      <x:c r="D8" s="10" t="s">
        <x:v>3286</x:v>
      </x:c>
    </x:row>
    <x:row r="9" ht="25" customHeight="1">
      <x:c r="A9" s="8" t="s">
        <x:v>3287</x:v>
      </x:c>
      <x:c r="B9" s="44" t="s">
        <x:v>924</x:v>
      </x:c>
      <x:c r="C9" s="9" t="s">
        <x:v>3134</x:v>
      </x:c>
      <x:c r="D9" s="9" t="s">
        <x:v>3288</x:v>
      </x:c>
    </x:row>
    <x:row r="10" ht="32.04999923706055" customHeight="1">
      <x:c r="A10" s="10" t="s">
        <x:v>3289</x:v>
      </x:c>
      <x:c r="B10" s="45" t="s">
        <x:v>924</x:v>
      </x:c>
      <x:c r="C10" s="11" t="s">
        <x:v>3290</x:v>
      </x:c>
      <x:c r="D10" s="10" t="s">
        <x:v>3291</x:v>
      </x:c>
    </x:row>
    <x:row r="11" ht="112" customHeight="1">
      <x:c r="A11" s="10" t="s">
        <x:v>3292</x:v>
      </x:c>
      <x:c r="B11" s="45" t="s">
        <x:v>3293</x:v>
      </x:c>
      <x:c r="C11" s="11" t="s">
        <x:v>3290</x:v>
      </x:c>
      <x:c r="D11" s="10" t="s">
        <x:v>3294</x:v>
      </x:c>
    </x:row>
    <x:row r="12" ht="37.5" customHeight="1">
      <x:c r="A12" s="10" t="s">
        <x:v>3295</x:v>
      </x:c>
      <x:c r="B12" s="45" t="s">
        <x:v>3296</x:v>
      </x:c>
      <x:c r="C12" s="11" t="s">
        <x:v>3290</x:v>
      </x:c>
      <x:c r="D12" s="11" t="s">
        <x:v>3297</x:v>
      </x:c>
    </x:row>
    <x:row r="13" ht="50.04999923706055" customHeight="1">
      <x:c r="A13" s="10" t="s">
        <x:v>3298</x:v>
      </x:c>
      <x:c r="B13" s="41">
        <x:v>46234</x:v>
      </x:c>
      <x:c r="C13" s="11" t="s">
        <x:v>3299</x:v>
      </x:c>
      <x:c r="D13" s="11" t="s">
        <x:v>3300</x:v>
      </x:c>
    </x:row>
    <x:row r="14" ht="50.04999923706055" customHeight="1">
      <x:c r="A14" s="10" t="s">
        <x:v>3301</x:v>
      </x:c>
      <x:c r="B14" s="41">
        <x:v>46234</x:v>
      </x:c>
      <x:c r="C14" s="11" t="s">
        <x:v>3299</x:v>
      </x:c>
      <x:c r="D14" s="11" t="s">
        <x:v>3302</x:v>
      </x:c>
    </x:row>
    <x:row r="15" ht="80.05000305175781" customHeight="1">
      <x:c r="A15" s="10" t="s">
        <x:v>3303</x:v>
      </x:c>
      <x:c r="B15" s="41" t="s">
        <x:v>3304</x:v>
      </x:c>
      <x:c r="C15" s="12" t="s">
        <x:v>3305</x:v>
      </x:c>
      <x:c r="D15" s="13" t="s">
        <x:v>3306</x:v>
      </x:c>
    </x:row>
    <x:row r="16" ht="48" customHeight="1">
      <x:c r="A16" s="10" t="s">
        <x:v>3307</x:v>
      </x:c>
      <x:c r="B16" s="41">
        <x:v>46236</x:v>
      </x:c>
      <x:c r="C16" s="12" t="s">
        <x:v>3299</x:v>
      </x:c>
      <x:c r="D16" s="13" t="s">
        <x:v>3308</x:v>
      </x:c>
    </x:row>
    <x:row r="17" ht="64" customHeight="1">
      <x:c r="A17" s="10" t="s">
        <x:v>3309</x:v>
      </x:c>
      <x:c r="B17" s="41">
        <x:v>46238</x:v>
      </x:c>
      <x:c r="C17" s="12" t="s">
        <x:v>3299</x:v>
      </x:c>
      <x:c r="D17" s="13" t="s">
        <x:v>3310</x:v>
      </x:c>
    </x:row>
    <x:row r="18" ht="75">
      <x:c r="A18" s="10" t="s">
        <x:v>3311</x:v>
      </x:c>
      <x:c r="B18" s="41">
        <x:v>46306</x:v>
      </x:c>
      <x:c r="C18" s="12" t="s">
        <x:v>3299</x:v>
      </x:c>
      <x:c r="D18" s="13" t="s">
        <x:v>3312</x:v>
      </x:c>
    </x:row>
    <x:row r="19" ht="75">
      <x:c r="A19" s="10" t="s">
        <x:v>3313</x:v>
      </x:c>
      <x:c r="B19" s="41">
        <x:v>46306</x:v>
      </x:c>
      <x:c r="C19" s="12" t="s">
        <x:v>3299</x:v>
      </x:c>
      <x:c r="D19" s="13" t="s">
        <x:v>3314</x:v>
      </x:c>
    </x:row>
    <x:row r="20" ht="105">
      <x:c r="A20" s="10" t="s">
        <x:v>3315</x:v>
      </x:c>
      <x:c r="B20" s="41">
        <x:v>46306</x:v>
      </x:c>
      <x:c r="C20" s="12" t="s">
        <x:v>3299</x:v>
      </x:c>
      <x:c r="D20" s="13" t="s">
        <x:v>3316</x:v>
      </x:c>
    </x:row>
    <x:row r="21" ht="45">
      <x:c r="A21" s="10" t="s">
        <x:v>3317</x:v>
      </x:c>
      <x:c r="B21" s="41">
        <x:v>46306</x:v>
      </x:c>
      <x:c r="C21" s="12" t="s">
        <x:v>3299</x:v>
      </x:c>
      <x:c r="D21" s="13" t="s">
        <x:v>3318</x:v>
      </x:c>
    </x:row>
    <x:row r="22" ht="30">
      <x:c r="A22" s="10" t="s">
        <x:v>3319</x:v>
      </x:c>
      <x:c r="B22" s="41">
        <x:v>46306</x:v>
      </x:c>
      <x:c r="C22" s="12" t="s">
        <x:v>3299</x:v>
      </x:c>
      <x:c r="D22" s="13" t="s">
        <x:v>3320</x:v>
      </x:c>
    </x:row>
    <x:row r="23" ht="75">
      <x:c r="A23" s="10" t="s">
        <x:v>3321</x:v>
      </x:c>
      <x:c r="B23" s="41">
        <x:v>46306</x:v>
      </x:c>
      <x:c r="C23" s="12" t="s">
        <x:v>3299</x:v>
      </x:c>
      <x:c r="D23" s="13" t="s">
        <x:v>3322</x:v>
      </x:c>
    </x:row>
    <x:row r="24" ht="60">
      <x:c r="A24" s="10" t="s">
        <x:v>3323</x:v>
      </x:c>
      <x:c r="B24" s="41">
        <x:v>46306</x:v>
      </x:c>
      <x:c r="C24" s="12" t="s">
        <x:v>3299</x:v>
      </x:c>
      <x:c r="D24" s="13" t="s">
        <x:v>3324</x:v>
      </x:c>
    </x:row>
    <x:row r="25" ht="45">
      <x:c r="A25" s="10" t="s">
        <x:v>3325</x:v>
      </x:c>
      <x:c r="B25" s="41">
        <x:v>46306</x:v>
      </x:c>
      <x:c r="C25" s="12" t="s">
        <x:v>3299</x:v>
      </x:c>
      <x:c r="D25" s="13" t="s">
        <x:v>3326</x:v>
      </x:c>
    </x:row>
    <x:row r="26" ht="45">
      <x:c r="A26" s="10" t="s">
        <x:v>3327</x:v>
      </x:c>
      <x:c r="B26" s="41">
        <x:v>46306</x:v>
      </x:c>
      <x:c r="C26" s="12" t="s">
        <x:v>3299</x:v>
      </x:c>
      <x:c r="D26" s="13" t="s">
        <x:v>3328</x:v>
      </x:c>
    </x:row>
    <x:row r="27" ht="75">
      <x:c r="A27" s="10" t="s">
        <x:v>3329</x:v>
      </x:c>
      <x:c r="B27" s="41">
        <x:v>46306</x:v>
      </x:c>
      <x:c r="C27" s="12" t="s">
        <x:v>3299</x:v>
      </x:c>
      <x:c r="D27" s="13" t="s">
        <x:v>3330</x:v>
      </x:c>
    </x:row>
    <x:row r="28" ht="45">
      <x:c r="A28" s="10" t="s">
        <x:v>3331</x:v>
      </x:c>
      <x:c r="B28" s="41">
        <x:v>46308</x:v>
      </x:c>
      <x:c r="C28" s="12" t="s">
        <x:v>3299</x:v>
      </x:c>
      <x:c r="D28" s="13" t="s">
        <x:v>3332</x:v>
      </x:c>
    </x:row>
    <x:row r="29" ht="45">
      <x:c r="A29" s="10" t="s">
        <x:v>3333</x:v>
      </x:c>
      <x:c r="B29" s="41">
        <x:v>46308</x:v>
      </x:c>
      <x:c r="C29" s="12" t="s">
        <x:v>3299</x:v>
      </x:c>
      <x:c r="D29" s="13" t="s">
        <x:v>3334</x:v>
      </x:c>
    </x:row>
    <x:row r="30" ht="60">
      <x:c r="A30" s="33" t="s">
        <x:v>3335</x:v>
      </x:c>
      <x:c r="B30" s="79">
        <x:v>46314</x:v>
      </x:c>
      <x:c r="C30" s="80" t="s">
        <x:v>3299</x:v>
      </x:c>
      <x:c r="D30" s="81" t="s">
        <x:v>3336</x:v>
      </x:c>
    </x:row>
    <x:row r="31" ht="60">
      <x:c r="A31" s="33" t="s">
        <x:v>3337</x:v>
      </x:c>
      <x:c r="B31" s="79">
        <x:v>46314</x:v>
      </x:c>
      <x:c r="C31" s="80" t="s">
        <x:v>3299</x:v>
      </x:c>
      <x:c r="D31" s="81" t="s">
        <x:v>3338</x:v>
      </x:c>
    </x:row>
    <x:row r="32" ht="135">
      <x:c r="A32" s="33" t="s">
        <x:v>3339</x:v>
      </x:c>
      <x:c r="B32" s="79">
        <x:v>46317</x:v>
      </x:c>
      <x:c r="C32" s="80" t="s">
        <x:v>3299</x:v>
      </x:c>
      <x:c r="D32" s="81" t="s">
        <x:v>3340</x:v>
      </x:c>
    </x:row>
    <x:row r="33" ht="255">
      <x:c r="A33" s="33" t="s">
        <x:v>3341</x:v>
      </x:c>
      <x:c r="B33" s="79">
        <x:v>46317</x:v>
      </x:c>
      <x:c r="C33" s="80" t="s">
        <x:v>3299</x:v>
      </x:c>
      <x:c r="D33" s="81" t="s">
        <x:v>3342</x:v>
      </x:c>
    </x:row>
    <x:row r="34" ht="75">
      <x:c r="A34" s="33" t="s">
        <x:v>3343</x:v>
      </x:c>
      <x:c r="B34" s="79">
        <x:v>46317</x:v>
      </x:c>
      <x:c r="C34" s="80" t="s">
        <x:v>3299</x:v>
      </x:c>
      <x:c r="D34" s="81" t="s">
        <x:v>3344</x:v>
      </x:c>
    </x:row>
    <x:row r="35" ht="180">
      <x:c r="A35" s="33" t="s">
        <x:v>3345</x:v>
      </x:c>
      <x:c r="B35" s="79">
        <x:v>46317</x:v>
      </x:c>
      <x:c r="C35" s="80" t="s">
        <x:v>3299</x:v>
      </x:c>
      <x:c r="D35" s="81" t="s">
        <x:v>3346</x:v>
      </x:c>
    </x:row>
    <x:row r="36" ht="135">
      <x:c r="A36" s="33" t="s">
        <x:v>3347</x:v>
      </x:c>
      <x:c r="B36" s="79">
        <x:v>46317</x:v>
      </x:c>
      <x:c r="C36" s="80" t="s">
        <x:v>3299</x:v>
      </x:c>
      <x:c r="D36" s="81" t="s">
        <x:v>3348</x:v>
      </x:c>
    </x:row>
    <x:row r="37" ht="124" customHeight="1">
      <x:c r="A37" s="33" t="s">
        <x:v>3349</x:v>
      </x:c>
      <x:c r="B37" s="79">
        <x:v>46321</x:v>
      </x:c>
      <x:c r="C37" s="80" t="s">
        <x:v>3350</x:v>
      </x:c>
      <x:c r="D37" s="81" t="s">
        <x:v>3351</x:v>
      </x:c>
    </x:row>
    <x:row r="38" ht="72" customHeight="1">
      <x:c r="A38" s="119" t="s">
        <x:v>3349</x:v>
      </x:c>
      <x:c r="B38" s="120">
        <x:v>46321</x:v>
      </x:c>
      <x:c r="C38" s="121" t="s">
        <x:v>3350</x:v>
      </x:c>
      <x:c r="D38" s="122" t="s">
        <x:v>3352</x:v>
      </x:c>
    </x:row>
    <x:row r="39" ht="108" customHeight="1">
      <x:c r="A39" s="119" t="s">
        <x:v>3349</x:v>
      </x:c>
      <x:c r="B39" s="120">
        <x:v>46321</x:v>
      </x:c>
      <x:c r="C39" s="121" t="s">
        <x:v>3350</x:v>
      </x:c>
      <x:c r="D39" s="122" t="s">
        <x:v>3353</x:v>
      </x:c>
    </x:row>
    <x:row r="40" ht="144" customHeight="1">
      <x:c r="A40" s="144" t="str">
        <x:v>v3.0</x:v>
      </x:c>
      <x:c r="B40" s="145" t="str">
        <x:v>2026-10-27</x:v>
      </x:c>
      <x:c r="C40" s="146" t="str">
        <x:v>현준</x:v>
      </x:c>
      <x:c r="D40" s="147" t="str">
        <x:v>v3.0: 2차 기능 46개 중 진행 19·미진행 18·후순위 5·논의후 진행 4. 포함 범위 28개(M 18·S 10). 004 제외, 059·076 후순위, 079 새 상품 적합도·AI 설명으로 대체하여 진행.
059는 대사 결과만 Excel 출력, RECO-W01/W02에 통합(구 RPT-W01 추적용). 076은 정산탐정 관계지도 계약 클릭→수수료 영수증 8단계 근거 드로어. 079는 본인 DB 자동 조회·기존 상품/정책 DB·서버 규칙 점수/정렬·실제 AI 근거 설명, 계산식/가중치 확정 필요. 기존 비교설명 PDF·수령 확인 제외. 078 미진행 유지. 075/085 연결 정합성 및 087/088 스포트라이트 문구 정정. 027 구현중과 기존 인증은 유지. 기능 상세·마스터·RTM·개정이력 및 화면/인터페이스 문서를 동기화. 비기능 원문·기존 코드·목업은 변경하지 않음.</x:v>
      </x:c>
    </x:row>
    <x:row r="41" ht="144" customHeight="1">
      <x:c r="A41" s="150" t="str">
        <x:v>v3.0</x:v>
      </x:c>
      <x:c r="B41" s="151" t="str">
        <x:v>2026-10-27</x:v>
      </x:c>
      <x:c r="C41" s="152" t="str">
        <x:v>현준</x:v>
      </x:c>
      <x:c r="D41" s="153" t="str">
        <x:v>v3.0: 2차 기능 46개 중 진행 17·논의후 진행 7·후순위 4·미진행 18. 포함 범위 28개(M 18·S 10). 060·075·076·079·084·085·086을 논의후 진행으로 통일. 기존 기능 범위·우선순위 유지.
075·079 진행→논의후 진행, 076 후순위→논의후 진행. 060·084·085·086은 기존 논의 상태 유지. 기능 상세·마스터·RTM의 진행 여부와 표시색, 현재 설명·개정이력을 동기화. 화면16개: 진행1·논의후 진행4·후순위2·미진행9. 관리자/설계사 메뉴 분리와 정산탐정 내부 영수증 구조 유지. IF-API-62·63·76~78 및 IF-EXT-03을 논의로 표시. 059 후순위·004/078 미진행·027 구현중은 유지.</x:v>
      </x:c>
    </x:row>
    <x:row r="42" ht="150" customHeight="1">
      <x:c r="A42" s="144" t="str">
        <x:v>v3.0</x:v>
      </x:c>
      <x:c r="B42" s="145" t="str">
        <x:v>2026-10-27</x:v>
      </x:c>
      <x:c r="C42" s="146" t="str">
        <x:v>현준</x:v>
      </x:c>
      <x:c r="D42" s="147" t="str">
        <x:v>v3.0: 2차 기능46개 중 진행23·논의후 진행0·후순위4·미진행19. 포함27개(M18·S9). 073 AI 업무 가이드 재정의·진행,075·076 미진행,060·079·084·085·086 진행.087·088 확장. 신규 FUN 번호 없음.
설계사079는086 홈 모달로 통합(구CMPR-W01 추적 유지).084는 내부 환수 화면 PDF로 분리.078·072·074 제외,059 후순위,027 구현중 유지. 기존 색상·서식·과거 이력 보존. 화면15개: 진행3·논의0·후순위2·미진행10. 세 문서의 상태·역할·화면/API 연결 동기화.</x:v>
      </x:c>
    </x:row>
  </x:sheetData>
  <x:pageMargins left="0.7" right="0.7" top="0.75" bottom="0.75" header="0.3" footer="0.3"/>
</x:worksheet>
</file>